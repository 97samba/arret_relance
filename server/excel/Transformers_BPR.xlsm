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017171\Downloads\"/>
    </mc:Choice>
  </mc:AlternateContent>
  <bookViews>
    <workbookView xWindow="0" yWindow="0" windowWidth="28800" windowHeight="12435"/>
  </bookViews>
  <sheets>
    <sheet name="Accueil" sheetId="1" r:id="rId1"/>
    <sheet name="ModuleENT" sheetId="2" r:id="rId2"/>
    <sheet name="ModuleCMD" sheetId="3" r:id="rId3"/>
    <sheet name="ModuleVERIF_ENTIER" sheetId="4" r:id="rId4"/>
    <sheet name="ModuleVERIF_CHAINE" sheetId="5" r:id="rId5"/>
    <sheet name="ListeVERIF" sheetId="6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1" i="1" l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7" i="2" l="1"/>
  <c r="A4" i="2" l="1"/>
  <c r="A101" i="2" s="1"/>
  <c r="A6" i="2"/>
  <c r="A103" i="2" s="1"/>
  <c r="A5" i="2"/>
  <c r="A102" i="2" s="1"/>
  <c r="A104" i="2" l="1"/>
  <c r="N3" i="1" l="1"/>
  <c r="N2" i="1"/>
</calcChain>
</file>

<file path=xl/sharedStrings.xml><?xml version="1.0" encoding="utf-8"?>
<sst xmlns="http://schemas.openxmlformats.org/spreadsheetml/2006/main" count="373" uniqueCount="198">
  <si>
    <t>ETAPE</t>
  </si>
  <si>
    <t>SERVEUR</t>
  </si>
  <si>
    <t>USER</t>
  </si>
  <si>
    <t>CMD avec paramètres ou Verif</t>
  </si>
  <si>
    <t>Résultat attendu
(pour la verif)</t>
  </si>
  <si>
    <t>PHASE
(R ou A)</t>
  </si>
  <si>
    <t>SSA</t>
  </si>
  <si>
    <t>Nbre Etape Arret</t>
  </si>
  <si>
    <t>Nbre Etape Relance</t>
  </si>
  <si>
    <t>Nom logique / Alias</t>
  </si>
  <si>
    <t>Serveur PROD</t>
  </si>
  <si>
    <t>#!/bin/bash</t>
  </si>
  <si>
    <t># +-------------------------------------------------------------------------------------------------+</t>
  </si>
  <si>
    <t># | Auteurs :</t>
  </si>
  <si>
    <t># | Arret/Relance Applicatif</t>
  </si>
  <si>
    <t># |</t>
  </si>
  <si>
    <t xml:space="preserve"># | Usage : </t>
  </si>
  <si>
    <t># | Description :</t>
  </si>
  <si>
    <t># | Suivi des Modifications :</t>
  </si>
  <si>
    <t># |   28/11/2019  :  Version initiale</t>
  </si>
  <si>
    <t>TYPE_ACTION=$1</t>
  </si>
  <si>
    <t>TYPE_ENVIRONNEMENT=$2</t>
  </si>
  <si>
    <t>LOCAL_DIR=/tmp</t>
  </si>
  <si>
    <t>LOG_DIR=/tmp</t>
  </si>
  <si>
    <t>TIME_OUT=600</t>
  </si>
  <si>
    <t>#################################### VARIABLE #####################################</t>
  </si>
  <si>
    <t>#################################### FIN VARIABLE #####################################</t>
  </si>
  <si>
    <t>if [ ! -d $LOCAL_DIR ]</t>
  </si>
  <si>
    <t>then</t>
  </si>
  <si>
    <t>chr(09) &amp;mkdir -p $LOCAL_DIR</t>
  </si>
  <si>
    <t xml:space="preserve">chr(09) &amp;if [ $? -ne 0 ] </t>
  </si>
  <si>
    <t xml:space="preserve">chr(09) &amp;then </t>
  </si>
  <si>
    <t xml:space="preserve">chr(09) &amp;chr(09) &amp;echo "Echec creation repertoire LOG ($LOCAL_DIR)" </t>
  </si>
  <si>
    <t xml:space="preserve">chr(09) &amp;fi </t>
  </si>
  <si>
    <t>fi</t>
  </si>
  <si>
    <t>FIC_ETAT=$LOCAL_DIR/etat.txt</t>
  </si>
  <si>
    <t>FIC_TMP=$LOCAL_DIR/tmp.txt</t>
  </si>
  <si>
    <t>case $TYPE_ACTION in</t>
  </si>
  <si>
    <t xml:space="preserve">chr(09) &amp;Arret) </t>
  </si>
  <si>
    <t xml:space="preserve">chr(09) &amp;chr(09) &amp;LOCAL_LOG_FILE=$LOG_DIR/Stop_$APPLI.log </t>
  </si>
  <si>
    <t xml:space="preserve">chr(09) &amp;chr(09) &amp;LOCAL_REPORT_FILE=$LOG_DIR/Stop_$APPLI"_Report.log" </t>
  </si>
  <si>
    <t xml:space="preserve">chr(09) &amp;chr(09) &amp;;; </t>
  </si>
  <si>
    <t xml:space="preserve">chr(09) &amp;Relance) </t>
  </si>
  <si>
    <t xml:space="preserve">chr(09) &amp;chr(09) &amp;LOCAL_LOG_FILE=$LOG_DIR/Start_$APPLI.log </t>
  </si>
  <si>
    <t xml:space="preserve">chr(09) &amp;chr(09) &amp;LOCAL_REPORT_FILE=$LOG_DIR/Start_$APPLI"_Report.log" </t>
  </si>
  <si>
    <t xml:space="preserve">chr(09) &amp;*) </t>
  </si>
  <si>
    <t xml:space="preserve">chr(09) &amp;chr(09) &amp;exit 0 </t>
  </si>
  <si>
    <t>esac</t>
  </si>
  <si>
    <t>if [ -f $FIC_ETAT ]</t>
  </si>
  <si>
    <t xml:space="preserve">chr(09) &amp;rm -f $FIC_ETAT </t>
  </si>
  <si>
    <t>echo "DEBUT DU TRAITEMENT" &gt;$FIC_ETAT</t>
  </si>
  <si>
    <t>if [ -f $FIC_TMP ]</t>
  </si>
  <si>
    <t xml:space="preserve">chr(09) &amp;rm -f $FIC_TMP </t>
  </si>
  <si>
    <t>if [ -f $LOCAL_LOG_FILE ]</t>
  </si>
  <si>
    <t xml:space="preserve">chr(09) &amp;mv $LOCAL_LOG_FILE $LOCAL_LOG_FILE.old </t>
  </si>
  <si>
    <t>if [ -f $LOCAL_REPORT_FILE ]</t>
  </si>
  <si>
    <t xml:space="preserve">chr(09) &amp;mv $LOCAL_REPORT_FILE $LOCAL_REPORT_FILE.old </t>
  </si>
  <si>
    <t>logEvent(){</t>
  </si>
  <si>
    <t xml:space="preserve">chr(09) &amp;if [ -z "$1" ] </t>
  </si>
  <si>
    <t xml:space="preserve">chr(09) &amp;chr(09) &amp;echo &gt;&gt; $LOCAL_LOG_FILE </t>
  </si>
  <si>
    <t xml:space="preserve">chr(09) &amp;else </t>
  </si>
  <si>
    <t xml:space="preserve">chr(09) &amp;chr(09) &amp;echo "$(date +'%d/%m/%Y %H:%M:%S') : $1 " &gt;&gt; $LOCAL_LOG_FILE </t>
  </si>
  <si>
    <t>}</t>
  </si>
  <si>
    <t>logReport(){</t>
  </si>
  <si>
    <t xml:space="preserve">chr(09) &amp;chr(09) &amp;echo &gt;&gt; $LOCAL_REPORT_FILE </t>
  </si>
  <si>
    <t xml:space="preserve">chr(09) &amp;chr(09) &amp;echo "$(date +'%d/%m/%Y %H:%M:%S') : $1 " &gt;&gt; $LOCAL_REPORT_FILE </t>
  </si>
  <si>
    <t>####################################MAIN#####################################</t>
  </si>
  <si>
    <t>echo "FIN DU TRAITEMENT" &gt;&gt;$FIC_ETAT</t>
  </si>
  <si>
    <t>#rm -- "$0"</t>
  </si>
  <si>
    <t>CMD="su - $USER -c '$CMD'"</t>
  </si>
  <si>
    <t>echo</t>
  </si>
  <si>
    <t>echo "Serveur "$SRV" - ["$TYPE_ACTION":"$APPLI":"$ETAPE"/"$NB_ETAPE"]"</t>
  </si>
  <si>
    <t>echo "Commande : "$CMD</t>
  </si>
  <si>
    <t>res=$(ssh -o BatchMode=yes -o ConnectTimeout=5 -o StrictHostKeyChecking=no -q root@$SRV "$CMD")</t>
  </si>
  <si>
    <t>retval=$?</t>
  </si>
  <si>
    <t>echo "Serveur "$SRV" - ["$TYPE_ACTION":"$APPLI":"$ETAPE"/"$NB_ETAPE"] / OK (RES("$res"))"</t>
  </si>
  <si>
    <t>#chr(09) &amp;CMD="su - $USER -c '$CMD'"</t>
  </si>
  <si>
    <t>chr(09) &amp;echo</t>
  </si>
  <si>
    <t>chr(09) &amp;echo "Serveur "$SRV" - ["$TYPE_ACTION":"$APPLI":"$ETAPE"/"$NB_ETAPE"]"</t>
  </si>
  <si>
    <t>chr(09) &amp;echo "Commande : "$CMD</t>
  </si>
  <si>
    <t>chr(09) &amp;res=$(ssh -o BatchMode=yes -o ConnectTimeout=5 -o StrictHostKeyChecking=no -q root@$SRV "$CMD")</t>
  </si>
  <si>
    <t>chr(09) &amp;retval=$?</t>
  </si>
  <si>
    <t>chr(09) &amp;if [ $res -ne $RES_ATTENDU ]</t>
  </si>
  <si>
    <t>chr(09) &amp;then</t>
  </si>
  <si>
    <t>chr(09) &amp;chr(09) &amp;echo "Serveur "$SRV" - ["$TYPE_ACTION":"$APPLI":"$ETAPE"/"$NB_ETAPE"] / ERREUR "$NUM_ERR" : RESULTAT ("$res") DIFFERENT DU RESULTAT ATTENDU ("$RES_ATTENDU")"</t>
  </si>
  <si>
    <t>chr(09) &amp;chr(09) &amp;exit $NUM_ERR</t>
  </si>
  <si>
    <t>chr(09) &amp;else</t>
  </si>
  <si>
    <t>chr(09) &amp;chr(09) &amp;echo "Serveur "$SRV" - ["$TYPE_ACTION":"$APPLI":"$ETAPE"/"$NB_ETAPE"] / OK (RES("$res") / RES_ATTENDU("$RES_ATTENDU"))"</t>
  </si>
  <si>
    <t>chr(09) &amp;fi</t>
  </si>
  <si>
    <t>chr(09) &amp;echo $res &gt; $FIC_TMP</t>
  </si>
  <si>
    <t>chr(09) &amp;if grep -c "$RES_ATTENDU" $FIC_TMP &gt; /dev/null; then</t>
  </si>
  <si>
    <t>sleep 5</t>
  </si>
  <si>
    <t>AUTEUR</t>
  </si>
  <si>
    <t>&gt;/dev/null</t>
  </si>
  <si>
    <t>timeout 120</t>
  </si>
  <si>
    <t>Ne pas effacer</t>
  </si>
  <si>
    <t>Custum</t>
  </si>
  <si>
    <t>chr(09) &amp;Arret)</t>
  </si>
  <si>
    <t>chr(09) &amp;chr(09) &amp;Arret_App</t>
  </si>
  <si>
    <t>chr(09) &amp;chr(09) &amp;;;</t>
  </si>
  <si>
    <t>chr(09) &amp;Relance)</t>
  </si>
  <si>
    <t>chr(09) &amp;chr(09) &amp;Relance_App</t>
  </si>
  <si>
    <t>userapp</t>
  </si>
  <si>
    <t>echo "DEBUT : $(date +'%d/%m/%Y %H:%M:%S')"</t>
  </si>
  <si>
    <t>echo "FIN : $(date +'%d/%m/%Y %H:%M:%S')"</t>
  </si>
  <si>
    <t>Type
(C, V ou I)</t>
  </si>
  <si>
    <t>su50642</t>
  </si>
  <si>
    <t>R</t>
  </si>
  <si>
    <t>C</t>
  </si>
  <si>
    <t>V</t>
  </si>
  <si>
    <t>I</t>
  </si>
  <si>
    <t>A</t>
  </si>
  <si>
    <t>sleep 180</t>
  </si>
  <si>
    <t>echo "#######################################################################"</t>
  </si>
  <si>
    <t>echo "#                                                                     #"</t>
  </si>
  <si>
    <t>echo "#                 !!!!!! ATTENTION !!!!!!                             #"</t>
  </si>
  <si>
    <t>echo "# Si cela n'est pas déjà fait, interrompre d'URGENCE le Build JENKINS #"</t>
  </si>
  <si>
    <t>Version PARPRE</t>
  </si>
  <si>
    <t>Version EBO</t>
  </si>
  <si>
    <t>Version TRANSFORMERS</t>
  </si>
  <si>
    <t>Serveur IPP2 (PFPI)</t>
  </si>
  <si>
    <t>Serveur IPP1 (PACK / PFV)</t>
  </si>
  <si>
    <t>chr(09) &amp;Tests)</t>
  </si>
  <si>
    <t>chr(09) &amp;chr(09) &amp;Tests_App</t>
  </si>
  <si>
    <t xml:space="preserve">chr(09) &amp;Tests) </t>
  </si>
  <si>
    <t xml:space="preserve">chr(09) &amp;chr(09) &amp;echo "Type d'action incorrecte (Arret / Relance / Tests)" </t>
  </si>
  <si>
    <t xml:space="preserve">chr(09) &amp;chr(09) &amp;LOCAL_LOG_FILE=$LOG_DIR/Tests_$APPLI.log </t>
  </si>
  <si>
    <t xml:space="preserve">chr(09) &amp;chr(09) &amp;LOCAL_REPORT_FILE=$LOG_DIR/Tests_$APPLI"_Report.log" </t>
  </si>
  <si>
    <t>APP3558_BPR</t>
  </si>
  <si>
    <t>F. GUINTINI</t>
  </si>
  <si>
    <t>echo "# Le/les base(s) de données font partie d’un cluster ExaCC #"</t>
  </si>
  <si>
    <t>echo "# Pour toutes opérations se référer aux ING BDD et/ou LS avec #"</t>
  </si>
  <si>
    <t>echo "# comme support le MEX spécifique EXACC. #"</t>
  </si>
  <si>
    <t>SNAPP01</t>
  </si>
  <si>
    <t>admba12</t>
  </si>
  <si>
    <t>/product/bpr/scripts/manageTomcat.ksh -a start -w WS</t>
  </si>
  <si>
    <t>ps -efa | grep tomcat | grep -cv grep</t>
  </si>
  <si>
    <t>SNAPP02</t>
  </si>
  <si>
    <t>/product/bpr/scripts/manageTomcat.ksh -a stop -w WS</t>
  </si>
  <si>
    <t>HPCEM01</t>
  </si>
  <si>
    <t>su12170</t>
  </si>
  <si>
    <t>su14013</t>
  </si>
  <si>
    <t>HPORD01</t>
  </si>
  <si>
    <t>psv1ac3pr1</t>
  </si>
  <si>
    <t>psv1rn1pa1</t>
  </si>
  <si>
    <t>HPSAVC1</t>
  </si>
  <si>
    <t>svg101-979</t>
  </si>
  <si>
    <t>HPSAVC2</t>
  </si>
  <si>
    <t>svg102-979</t>
  </si>
  <si>
    <t>HPSAVC3</t>
  </si>
  <si>
    <t>svg106-979</t>
  </si>
  <si>
    <t>HPSAVC5</t>
  </si>
  <si>
    <t>svg105-979</t>
  </si>
  <si>
    <t>LNNAG01</t>
  </si>
  <si>
    <t>su12160</t>
  </si>
  <si>
    <t>su10238</t>
  </si>
  <si>
    <t>LNNAG02</t>
  </si>
  <si>
    <t>su10235</t>
  </si>
  <si>
    <t>su14014</t>
  </si>
  <si>
    <t>LNNAG03</t>
  </si>
  <si>
    <t>su10239</t>
  </si>
  <si>
    <t>LNNAG04</t>
  </si>
  <si>
    <t>SCSAV01</t>
  </si>
  <si>
    <t>SFBPR</t>
  </si>
  <si>
    <t>su14560</t>
  </si>
  <si>
    <t>su14911</t>
  </si>
  <si>
    <t>su14851</t>
  </si>
  <si>
    <t>su14912</t>
  </si>
  <si>
    <t>SNBDD01</t>
  </si>
  <si>
    <t>exacc0101vm01.fr1.ocm</t>
  </si>
  <si>
    <t>exacc0201vm03.fr2.ocm</t>
  </si>
  <si>
    <t>SNBDD02</t>
  </si>
  <si>
    <t>exacc0102vm01.fr1.ocm</t>
  </si>
  <si>
    <t>exacc0202vm03.fr2.ocm</t>
  </si>
  <si>
    <t>SNBDD03</t>
  </si>
  <si>
    <t>exacc0103vm01.fr1.ocm</t>
  </si>
  <si>
    <t>exacc0203vm03.fr2.ocm</t>
  </si>
  <si>
    <t>SNBDD04</t>
  </si>
  <si>
    <t>exacc0104vm01.fr1.ocm</t>
  </si>
  <si>
    <t>exacc0204vm03.fr2.ocm</t>
  </si>
  <si>
    <t>SNBDD05</t>
  </si>
  <si>
    <t>exacc0201vm01.fr2.ocm</t>
  </si>
  <si>
    <t>SNBDD06</t>
  </si>
  <si>
    <t>exacc0202vm01.fr2.ocm</t>
  </si>
  <si>
    <t>SNBDD07</t>
  </si>
  <si>
    <t>exacc0203vm01.fr2.ocm</t>
  </si>
  <si>
    <t>SNBDD08</t>
  </si>
  <si>
    <t>exacc0204vm01.fr2.ocm</t>
  </si>
  <si>
    <t>SNPAT01</t>
  </si>
  <si>
    <t>SNSAV01</t>
  </si>
  <si>
    <t>SNSAVC6</t>
  </si>
  <si>
    <t>SNSAVC7</t>
  </si>
  <si>
    <t>svg107-979</t>
  </si>
  <si>
    <t>SNVIP01</t>
  </si>
  <si>
    <t>exacc01appvip1.fr1.ocm</t>
  </si>
  <si>
    <t>exacc02appvip3.fr2.ocm</t>
  </si>
  <si>
    <t>SNVIP02</t>
  </si>
  <si>
    <t>exacc02appvip1.fr2.ocm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</si>
</sst>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0" fillId="0" borderId="0" xfId="0" applyAlignment="1"/>
    <xf numFmtId="0" fontId="0" fillId="0" borderId="0" xfId="0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0</xdr:row>
          <xdr:rowOff>28575</xdr:rowOff>
        </xdr:from>
        <xdr:to>
          <xdr:col>11</xdr:col>
          <xdr:colOff>381000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7</xdr:row>
          <xdr:rowOff>19050</xdr:rowOff>
        </xdr:from>
        <xdr:to>
          <xdr:col>11</xdr:col>
          <xdr:colOff>371475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1</xdr:row>
          <xdr:rowOff>95250</xdr:rowOff>
        </xdr:from>
        <xdr:to>
          <xdr:col>11</xdr:col>
          <xdr:colOff>381000</xdr:colOff>
          <xdr:row>3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4</xdr:row>
          <xdr:rowOff>9525</xdr:rowOff>
        </xdr:from>
        <xdr:to>
          <xdr:col>11</xdr:col>
          <xdr:colOff>390525</xdr:colOff>
          <xdr:row>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Transformers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R72"/>
  <sheetViews>
    <sheetView tabSelected="1" zoomScale="90" zoomScaleNormal="9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baseColWidth="10" defaultRowHeight="15" x14ac:dyDescent="0.25"/>
  <cols>
    <col min="1" max="1" width="6.42578125" style="8" bestFit="1" customWidth="1"/>
    <col min="2" max="2" width="8" style="8" bestFit="1" customWidth="1"/>
    <col min="3" max="3" width="9.5703125" style="8" bestFit="1" customWidth="1"/>
    <col min="4" max="5" width="11.42578125" style="25" customWidth="1"/>
    <col min="6" max="6" width="110.7109375" style="25" customWidth="1"/>
    <col min="7" max="7" width="15.7109375" style="26" bestFit="1" customWidth="1"/>
    <col min="8" max="9" width="11.42578125" style="13"/>
    <col min="10" max="12" width="11.42578125" style="8"/>
    <col min="13" max="14" width="19.7109375" style="8" customWidth="1"/>
    <col min="15" max="15" width="24.140625" style="8" bestFit="1" customWidth="1"/>
    <col min="16" max="16" width="18" style="8" bestFit="1" customWidth="1"/>
    <col min="17" max="17" width="16.28515625" style="8" customWidth="1"/>
    <col min="18" max="18" width="11.5703125" style="8" bestFit="1" customWidth="1"/>
    <col min="19" max="16384" width="11.42578125" style="8"/>
  </cols>
  <sheetData>
    <row r="1" spans="1:18" ht="30" x14ac:dyDescent="0.25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1" t="s">
        <v>3</v>
      </c>
      <c r="G1" s="1" t="s">
        <v>4</v>
      </c>
      <c r="H1" s="5" t="s">
        <v>96</v>
      </c>
      <c r="I1" s="6" t="s">
        <v>95</v>
      </c>
      <c r="M1" s="2" t="s">
        <v>6</v>
      </c>
      <c r="N1" s="7" t="s">
        <v>128</v>
      </c>
      <c r="O1" s="2" t="s">
        <v>92</v>
      </c>
      <c r="P1" s="4" t="s">
        <v>129</v>
      </c>
      <c r="Q1" s="2" t="s">
        <v>117</v>
      </c>
      <c r="R1" s="9">
        <v>43809</v>
      </c>
    </row>
    <row r="2" spans="1:18" x14ac:dyDescent="0.25">
      <c r="A2" s="10">
        <v>1</v>
      </c>
      <c r="B2" s="10" t="s">
        <v>107</v>
      </c>
      <c r="C2" s="10" t="s">
        <v>110</v>
      </c>
      <c r="D2" s="11"/>
      <c r="E2" s="11"/>
      <c r="F2" s="11" t="s">
        <v>70</v>
      </c>
      <c r="G2" s="12"/>
      <c r="I2" s="17" t="s">
        <v>91</v>
      </c>
      <c r="M2" s="14" t="s">
        <v>7</v>
      </c>
      <c r="N2" s="15">
        <f>SUMPRODUCT((B:B="A")*(C:C="C"))+SUMPRODUCT((B:B="A")*(C:C="V"))</f>
        <v>4</v>
      </c>
      <c r="O2" s="2" t="s">
        <v>119</v>
      </c>
      <c r="P2" s="9">
        <v>44007</v>
      </c>
      <c r="Q2" s="2" t="s">
        <v>118</v>
      </c>
      <c r="R2" s="9">
        <v>43977</v>
      </c>
    </row>
    <row r="3" spans="1:18" x14ac:dyDescent="0.25">
      <c r="A3" s="10">
        <f>A2+1</f>
        <v>2</v>
      </c>
      <c r="B3" s="10" t="s">
        <v>107</v>
      </c>
      <c r="C3" s="10" t="s">
        <v>110</v>
      </c>
      <c r="D3" s="11"/>
      <c r="E3" s="11"/>
      <c r="F3" s="11" t="s">
        <v>70</v>
      </c>
      <c r="G3" s="12"/>
      <c r="H3" s="17"/>
      <c r="I3" s="17" t="s">
        <v>93</v>
      </c>
      <c r="M3" s="16" t="s">
        <v>8</v>
      </c>
      <c r="N3" s="15">
        <f>SUMPRODUCT((B:B="R")*(C:C="C"))+SUMPRODUCT((B:B="R")*(C:C="V"))</f>
        <v>4</v>
      </c>
    </row>
    <row r="4" spans="1:18" x14ac:dyDescent="0.25">
      <c r="A4" s="10">
        <f>A3+1</f>
        <v>3</v>
      </c>
      <c r="B4" s="10" t="s">
        <v>107</v>
      </c>
      <c r="C4" s="10" t="s">
        <v>110</v>
      </c>
      <c r="D4" s="11"/>
      <c r="E4" s="11"/>
      <c r="F4" s="11" t="s">
        <v>113</v>
      </c>
      <c r="G4" s="12"/>
      <c r="I4" s="13" t="s">
        <v>94</v>
      </c>
      <c r="M4" s="14" t="s">
        <v>9</v>
      </c>
      <c r="N4" s="14" t="s">
        <v>10</v>
      </c>
      <c r="O4" s="14" t="s">
        <v>121</v>
      </c>
      <c r="P4" s="14" t="s">
        <v>120</v>
      </c>
    </row>
    <row r="5" spans="1:18" x14ac:dyDescent="0.25">
      <c r="A5" s="10">
        <f>A4+1</f>
        <v>4</v>
      </c>
      <c r="B5" s="10" t="s">
        <v>107</v>
      </c>
      <c r="C5" s="10" t="s">
        <v>110</v>
      </c>
      <c r="D5" s="11"/>
      <c r="E5" s="11"/>
      <c r="F5" s="11" t="s">
        <v>114</v>
      </c>
      <c r="G5" s="12"/>
      <c r="I5" s="13" t="s">
        <v>102</v>
      </c>
      <c r="M5" s="18" t="s">
        <v>139</v>
      </c>
      <c r="N5" s="19" t="s">
        <v>140</v>
      </c>
      <c r="O5" s="19" t="s">
        <v>141</v>
      </c>
      <c r="P5" s="19"/>
    </row>
    <row r="6" spans="1:18" x14ac:dyDescent="0.25">
      <c r="A6" s="10">
        <f>A5+1</f>
        <v>5</v>
      </c>
      <c r="B6" s="10" t="s">
        <v>107</v>
      </c>
      <c r="C6" s="10" t="s">
        <v>110</v>
      </c>
      <c r="D6" s="11"/>
      <c r="E6" s="11"/>
      <c r="F6" s="11" t="s">
        <v>115</v>
      </c>
      <c r="G6" s="12"/>
      <c r="H6" s="17"/>
      <c r="M6" s="18" t="s">
        <v>142</v>
      </c>
      <c r="N6" s="19" t="s">
        <v>143</v>
      </c>
      <c r="O6" s="19" t="s">
        <v>144</v>
      </c>
      <c r="P6" s="19"/>
    </row>
    <row r="7" spans="1:18" x14ac:dyDescent="0.25">
      <c r="A7" s="10">
        <f>A6+1</f>
        <v>6</v>
      </c>
      <c r="B7" s="10" t="s">
        <v>107</v>
      </c>
      <c r="C7" s="10" t="s">
        <v>110</v>
      </c>
      <c r="D7" s="11"/>
      <c r="E7" s="11"/>
      <c r="F7" s="11" t="s">
        <v>130</v>
      </c>
      <c r="G7" s="12"/>
      <c r="M7" s="18" t="s">
        <v>145</v>
      </c>
      <c r="N7" s="19" t="s">
        <v>146</v>
      </c>
      <c r="O7" s="19" t="s">
        <v>144</v>
      </c>
      <c r="P7" s="19"/>
    </row>
    <row r="8" spans="1:18" x14ac:dyDescent="0.25">
      <c r="A8" s="10">
        <f>A7+1</f>
        <v>7</v>
      </c>
      <c r="B8" s="10" t="s">
        <v>107</v>
      </c>
      <c r="C8" s="10" t="s">
        <v>110</v>
      </c>
      <c r="D8" s="11"/>
      <c r="E8" s="11"/>
      <c r="F8" s="22" t="s">
        <v>131</v>
      </c>
      <c r="G8" s="24"/>
      <c r="M8" s="18" t="s">
        <v>147</v>
      </c>
      <c r="N8" s="19" t="s">
        <v>148</v>
      </c>
      <c r="O8" s="19" t="s">
        <v>144</v>
      </c>
      <c r="P8" s="19"/>
    </row>
    <row r="9" spans="1:18" x14ac:dyDescent="0.25">
      <c r="A9" s="10">
        <f>A8+1</f>
        <v>8</v>
      </c>
      <c r="B9" s="10" t="s">
        <v>107</v>
      </c>
      <c r="C9" s="10" t="s">
        <v>110</v>
      </c>
      <c r="D9" s="21"/>
      <c r="E9" s="11"/>
      <c r="F9" s="22" t="s">
        <v>132</v>
      </c>
      <c r="G9" s="12"/>
      <c r="M9" s="18" t="s">
        <v>149</v>
      </c>
      <c r="N9" s="19" t="s">
        <v>150</v>
      </c>
      <c r="O9" s="19" t="s">
        <v>144</v>
      </c>
      <c r="P9" s="19"/>
    </row>
    <row r="10" spans="1:18" x14ac:dyDescent="0.25">
      <c r="A10" s="10">
        <f>A9+1</f>
        <v>9</v>
      </c>
      <c r="B10" s="10" t="s">
        <v>107</v>
      </c>
      <c r="C10" s="10" t="s">
        <v>110</v>
      </c>
      <c r="D10" s="11"/>
      <c r="E10" s="11"/>
      <c r="F10" s="22" t="s">
        <v>114</v>
      </c>
      <c r="G10" s="24"/>
      <c r="M10" s="18" t="s">
        <v>151</v>
      </c>
      <c r="N10" s="19" t="s">
        <v>152</v>
      </c>
      <c r="O10" s="19" t="s">
        <v>144</v>
      </c>
      <c r="P10" s="19"/>
    </row>
    <row r="11" spans="1:18" x14ac:dyDescent="0.25">
      <c r="A11" s="10">
        <f>A10+1</f>
        <v>10</v>
      </c>
      <c r="B11" s="10" t="s">
        <v>107</v>
      </c>
      <c r="C11" s="10" t="s">
        <v>110</v>
      </c>
      <c r="D11" s="21"/>
      <c r="E11" s="11"/>
      <c r="F11" s="13" t="s">
        <v>116</v>
      </c>
      <c r="G11" s="12"/>
      <c r="M11" s="18" t="s">
        <v>153</v>
      </c>
      <c r="N11" s="19" t="s">
        <v>154</v>
      </c>
      <c r="O11" s="19" t="s">
        <v>155</v>
      </c>
      <c r="P11" s="19"/>
    </row>
    <row r="12" spans="1:18" x14ac:dyDescent="0.25">
      <c r="A12" s="10">
        <f>A11+1</f>
        <v>11</v>
      </c>
      <c r="B12" s="10" t="s">
        <v>107</v>
      </c>
      <c r="C12" s="10" t="s">
        <v>110</v>
      </c>
      <c r="D12" s="11"/>
      <c r="E12" s="11"/>
      <c r="F12" s="22" t="s">
        <v>114</v>
      </c>
      <c r="G12" s="24"/>
      <c r="M12" s="18" t="s">
        <v>156</v>
      </c>
      <c r="N12" s="19" t="s">
        <v>157</v>
      </c>
      <c r="O12" s="19" t="s">
        <v>158</v>
      </c>
      <c r="P12" s="19"/>
    </row>
    <row r="13" spans="1:18" x14ac:dyDescent="0.25">
      <c r="A13" s="10">
        <f>A12+1</f>
        <v>12</v>
      </c>
      <c r="B13" s="10" t="s">
        <v>107</v>
      </c>
      <c r="C13" s="10" t="s">
        <v>110</v>
      </c>
      <c r="D13" s="21"/>
      <c r="E13" s="11"/>
      <c r="F13" s="13" t="s">
        <v>113</v>
      </c>
      <c r="G13" s="12"/>
      <c r="M13" s="18" t="s">
        <v>159</v>
      </c>
      <c r="N13" s="19"/>
      <c r="O13" s="19" t="s">
        <v>160</v>
      </c>
      <c r="P13" s="19"/>
    </row>
    <row r="14" spans="1:18" x14ac:dyDescent="0.25">
      <c r="A14" s="10">
        <f>A13+1</f>
        <v>13</v>
      </c>
      <c r="B14" s="10" t="s">
        <v>107</v>
      </c>
      <c r="C14" s="10" t="s">
        <v>110</v>
      </c>
      <c r="D14" s="21"/>
      <c r="E14" s="11"/>
      <c r="F14" s="13" t="s">
        <v>70</v>
      </c>
      <c r="G14" s="12"/>
      <c r="M14" s="18" t="s">
        <v>161</v>
      </c>
      <c r="N14" s="19"/>
      <c r="O14" s="19" t="s">
        <v>160</v>
      </c>
      <c r="P14" s="19"/>
    </row>
    <row r="15" spans="1:18" x14ac:dyDescent="0.25">
      <c r="A15" s="10">
        <f>A14+1</f>
        <v>14</v>
      </c>
      <c r="B15" s="10" t="s">
        <v>107</v>
      </c>
      <c r="C15" s="10" t="s">
        <v>110</v>
      </c>
      <c r="D15" s="11"/>
      <c r="E15" s="11"/>
      <c r="F15" s="13" t="s">
        <v>70</v>
      </c>
      <c r="G15" s="12"/>
      <c r="H15" s="13" t="s">
        <v>112</v>
      </c>
      <c r="M15" s="18" t="s">
        <v>162</v>
      </c>
      <c r="N15" s="19" t="s">
        <v>106</v>
      </c>
      <c r="O15" s="19"/>
      <c r="P15" s="19"/>
    </row>
    <row r="16" spans="1:18" x14ac:dyDescent="0.25">
      <c r="A16" s="10">
        <f>A15+1</f>
        <v>15</v>
      </c>
      <c r="B16" s="10" t="s">
        <v>107</v>
      </c>
      <c r="C16" s="10" t="s">
        <v>108</v>
      </c>
      <c r="D16" s="11" t="s">
        <v>133</v>
      </c>
      <c r="E16" s="11" t="s">
        <v>134</v>
      </c>
      <c r="F16" s="11" t="s">
        <v>135</v>
      </c>
      <c r="G16" s="12"/>
      <c r="M16" s="18" t="s">
        <v>163</v>
      </c>
      <c r="N16" s="19"/>
      <c r="O16" s="19"/>
      <c r="P16" s="19"/>
    </row>
    <row r="17" spans="1:16" x14ac:dyDescent="0.25">
      <c r="A17" s="10">
        <f>A16+1</f>
        <v>16</v>
      </c>
      <c r="B17" s="10" t="s">
        <v>107</v>
      </c>
      <c r="C17" s="10" t="s">
        <v>109</v>
      </c>
      <c r="D17" s="11" t="s">
        <v>133</v>
      </c>
      <c r="E17" s="11" t="s">
        <v>134</v>
      </c>
      <c r="F17" s="11" t="s">
        <v>136</v>
      </c>
      <c r="G17" s="12">
        <v>1</v>
      </c>
      <c r="H17" s="17"/>
      <c r="M17" s="19" t="s">
        <v>133</v>
      </c>
      <c r="N17" s="19" t="s">
        <v>164</v>
      </c>
      <c r="O17" s="19" t="s">
        <v>165</v>
      </c>
      <c r="P17" s="23"/>
    </row>
    <row r="18" spans="1:16" x14ac:dyDescent="0.25">
      <c r="A18" s="10">
        <f>A17+1</f>
        <v>17</v>
      </c>
      <c r="B18" s="10" t="s">
        <v>107</v>
      </c>
      <c r="C18" s="10" t="s">
        <v>108</v>
      </c>
      <c r="D18" s="11" t="s">
        <v>137</v>
      </c>
      <c r="E18" s="11" t="s">
        <v>134</v>
      </c>
      <c r="F18" s="11" t="s">
        <v>135</v>
      </c>
      <c r="G18" s="12"/>
      <c r="H18" s="17"/>
      <c r="M18" s="19" t="s">
        <v>137</v>
      </c>
      <c r="N18" s="19" t="s">
        <v>166</v>
      </c>
      <c r="O18" s="19" t="s">
        <v>167</v>
      </c>
      <c r="P18" s="23"/>
    </row>
    <row r="19" spans="1:16" x14ac:dyDescent="0.25">
      <c r="A19" s="10">
        <f>A18+1</f>
        <v>18</v>
      </c>
      <c r="B19" s="10" t="s">
        <v>107</v>
      </c>
      <c r="C19" s="10" t="s">
        <v>109</v>
      </c>
      <c r="D19" s="11" t="s">
        <v>137</v>
      </c>
      <c r="E19" s="11" t="s">
        <v>134</v>
      </c>
      <c r="F19" s="11" t="s">
        <v>136</v>
      </c>
      <c r="G19" s="12">
        <v>1</v>
      </c>
      <c r="M19" s="29" t="s">
        <v>168</v>
      </c>
      <c r="N19" s="19" t="s">
        <v>169</v>
      </c>
      <c r="O19" s="19" t="s">
        <v>170</v>
      </c>
      <c r="P19" s="23"/>
    </row>
    <row r="20" spans="1:16" x14ac:dyDescent="0.25">
      <c r="A20" s="10">
        <v>1</v>
      </c>
      <c r="B20" s="10" t="s">
        <v>111</v>
      </c>
      <c r="C20" s="10" t="s">
        <v>108</v>
      </c>
      <c r="D20" s="11" t="s">
        <v>133</v>
      </c>
      <c r="E20" s="11" t="s">
        <v>134</v>
      </c>
      <c r="F20" s="11" t="s">
        <v>138</v>
      </c>
      <c r="G20" s="12"/>
      <c r="M20" s="18" t="s">
        <v>171</v>
      </c>
      <c r="N20" s="19" t="s">
        <v>172</v>
      </c>
      <c r="O20" s="19" t="s">
        <v>173</v>
      </c>
      <c r="P20" s="23"/>
    </row>
    <row r="21" spans="1:16" x14ac:dyDescent="0.25">
      <c r="A21" s="10">
        <f>A20+1</f>
        <v>2</v>
      </c>
      <c r="B21" s="10" t="s">
        <v>111</v>
      </c>
      <c r="C21" s="10" t="s">
        <v>109</v>
      </c>
      <c r="D21" s="11" t="s">
        <v>133</v>
      </c>
      <c r="E21" s="11" t="s">
        <v>134</v>
      </c>
      <c r="F21" s="11" t="s">
        <v>136</v>
      </c>
      <c r="G21" s="12">
        <v>0</v>
      </c>
      <c r="M21" s="29" t="s">
        <v>174</v>
      </c>
      <c r="N21" s="8" t="s">
        <v>175</v>
      </c>
      <c r="O21" s="23" t="s">
        <v>176</v>
      </c>
      <c r="P21" s="23"/>
    </row>
    <row r="22" spans="1:16" x14ac:dyDescent="0.25">
      <c r="A22" s="10">
        <f>A21+1</f>
        <v>3</v>
      </c>
      <c r="B22" s="10" t="s">
        <v>111</v>
      </c>
      <c r="C22" s="10" t="s">
        <v>108</v>
      </c>
      <c r="D22" s="11" t="s">
        <v>137</v>
      </c>
      <c r="E22" s="11" t="s">
        <v>134</v>
      </c>
      <c r="F22" s="11" t="s">
        <v>138</v>
      </c>
      <c r="G22" s="12"/>
      <c r="M22" s="29" t="s">
        <v>177</v>
      </c>
      <c r="N22" s="8" t="s">
        <v>178</v>
      </c>
      <c r="O22" s="23" t="s">
        <v>179</v>
      </c>
      <c r="P22" s="23"/>
    </row>
    <row r="23" spans="1:16" x14ac:dyDescent="0.25">
      <c r="A23" s="10">
        <f>A22+1</f>
        <v>4</v>
      </c>
      <c r="B23" s="10" t="s">
        <v>111</v>
      </c>
      <c r="C23" s="10" t="s">
        <v>109</v>
      </c>
      <c r="D23" s="11" t="s">
        <v>137</v>
      </c>
      <c r="E23" s="11" t="s">
        <v>134</v>
      </c>
      <c r="F23" s="11" t="s">
        <v>136</v>
      </c>
      <c r="G23" s="12">
        <v>0</v>
      </c>
      <c r="H23" s="17"/>
      <c r="M23" s="29" t="s">
        <v>180</v>
      </c>
      <c r="N23" s="23" t="s">
        <v>181</v>
      </c>
      <c r="O23" s="23" t="s">
        <v>170</v>
      </c>
      <c r="P23" s="23"/>
    </row>
    <row r="24" spans="1:16" x14ac:dyDescent="0.25">
      <c r="A24" s="10">
        <f>A23+1</f>
        <v>5</v>
      </c>
      <c r="B24" s="10" t="s">
        <v>111</v>
      </c>
      <c r="C24" s="10" t="s">
        <v>110</v>
      </c>
      <c r="D24" s="11"/>
      <c r="E24" s="11"/>
      <c r="F24" s="11" t="s">
        <v>70</v>
      </c>
      <c r="G24" s="12"/>
      <c r="H24" s="17"/>
      <c r="M24" s="29" t="s">
        <v>182</v>
      </c>
      <c r="N24" s="23" t="s">
        <v>183</v>
      </c>
      <c r="O24" s="23" t="s">
        <v>173</v>
      </c>
      <c r="P24" s="23"/>
    </row>
    <row r="25" spans="1:16" x14ac:dyDescent="0.25">
      <c r="A25" s="10">
        <f>A24+1</f>
        <v>6</v>
      </c>
      <c r="B25" s="10" t="s">
        <v>111</v>
      </c>
      <c r="C25" s="10" t="s">
        <v>110</v>
      </c>
      <c r="D25" s="11"/>
      <c r="E25" s="11"/>
      <c r="F25" s="11" t="s">
        <v>70</v>
      </c>
      <c r="G25" s="12"/>
      <c r="M25" s="29" t="s">
        <v>184</v>
      </c>
      <c r="N25" s="8" t="s">
        <v>185</v>
      </c>
      <c r="O25" s="8" t="s">
        <v>176</v>
      </c>
    </row>
    <row r="26" spans="1:16" x14ac:dyDescent="0.25">
      <c r="A26" s="10">
        <f>A25+1</f>
        <v>7</v>
      </c>
      <c r="B26" s="10" t="s">
        <v>111</v>
      </c>
      <c r="C26" s="10" t="s">
        <v>110</v>
      </c>
      <c r="D26" s="11"/>
      <c r="E26" s="11"/>
      <c r="F26" s="11" t="s">
        <v>113</v>
      </c>
      <c r="G26" s="12"/>
      <c r="M26" s="29" t="s">
        <v>186</v>
      </c>
      <c r="N26" s="8" t="s">
        <v>187</v>
      </c>
      <c r="O26" s="8" t="s">
        <v>179</v>
      </c>
    </row>
    <row r="27" spans="1:16" x14ac:dyDescent="0.25">
      <c r="A27" s="10">
        <f>A26+1</f>
        <v>8</v>
      </c>
      <c r="B27" s="10" t="s">
        <v>111</v>
      </c>
      <c r="C27" s="10" t="s">
        <v>110</v>
      </c>
      <c r="D27" s="11"/>
      <c r="E27" s="11"/>
      <c r="F27" s="11" t="s">
        <v>114</v>
      </c>
      <c r="G27" s="12"/>
      <c r="H27" s="17"/>
      <c r="M27" s="29" t="s">
        <v>188</v>
      </c>
      <c r="N27" s="8" t="s">
        <v>154</v>
      </c>
      <c r="O27" s="8" t="s">
        <v>158</v>
      </c>
    </row>
    <row r="28" spans="1:16" x14ac:dyDescent="0.25">
      <c r="A28" s="10">
        <f>A27+1</f>
        <v>9</v>
      </c>
      <c r="B28" s="10" t="s">
        <v>111</v>
      </c>
      <c r="C28" s="10" t="s">
        <v>110</v>
      </c>
      <c r="D28" s="11"/>
      <c r="E28" s="11"/>
      <c r="F28" s="11" t="s">
        <v>115</v>
      </c>
      <c r="G28" s="12"/>
      <c r="M28" s="29" t="s">
        <v>189</v>
      </c>
      <c r="N28" s="8" t="s">
        <v>148</v>
      </c>
      <c r="O28" s="8" t="s">
        <v>144</v>
      </c>
    </row>
    <row r="29" spans="1:16" x14ac:dyDescent="0.25">
      <c r="A29" s="10">
        <f>A28+1</f>
        <v>10</v>
      </c>
      <c r="B29" s="10" t="s">
        <v>111</v>
      </c>
      <c r="C29" s="10" t="s">
        <v>110</v>
      </c>
      <c r="D29" s="11"/>
      <c r="E29" s="11"/>
      <c r="F29" s="11" t="s">
        <v>130</v>
      </c>
      <c r="G29" s="12"/>
      <c r="H29" s="17"/>
      <c r="M29" s="29" t="s">
        <v>190</v>
      </c>
      <c r="N29" s="8" t="s">
        <v>150</v>
      </c>
      <c r="O29" s="8" t="s">
        <v>144</v>
      </c>
    </row>
    <row r="30" spans="1:16" x14ac:dyDescent="0.25">
      <c r="A30" s="10">
        <f>A29+1</f>
        <v>11</v>
      </c>
      <c r="B30" s="10" t="s">
        <v>111</v>
      </c>
      <c r="C30" s="10" t="s">
        <v>110</v>
      </c>
      <c r="D30" s="21"/>
      <c r="E30" s="11"/>
      <c r="F30" s="22" t="s">
        <v>131</v>
      </c>
      <c r="G30" s="12"/>
      <c r="M30" s="29" t="s">
        <v>191</v>
      </c>
      <c r="N30" s="8" t="s">
        <v>192</v>
      </c>
      <c r="O30" s="8" t="s">
        <v>144</v>
      </c>
    </row>
    <row r="31" spans="1:16" x14ac:dyDescent="0.25">
      <c r="A31" s="10">
        <f>A30+1</f>
        <v>12</v>
      </c>
      <c r="B31" s="10" t="s">
        <v>111</v>
      </c>
      <c r="C31" s="10" t="s">
        <v>110</v>
      </c>
      <c r="D31" s="21"/>
      <c r="E31" s="11"/>
      <c r="F31" s="22" t="s">
        <v>132</v>
      </c>
      <c r="G31" s="12"/>
      <c r="M31" s="29" t="s">
        <v>193</v>
      </c>
      <c r="N31" s="8" t="s">
        <v>194</v>
      </c>
      <c r="O31" s="8" t="s">
        <v>195</v>
      </c>
    </row>
    <row r="32" spans="1:16" x14ac:dyDescent="0.25">
      <c r="A32" s="10">
        <f>A31+1</f>
        <v>13</v>
      </c>
      <c r="B32" s="10" t="s">
        <v>111</v>
      </c>
      <c r="C32" s="10" t="s">
        <v>110</v>
      </c>
      <c r="D32" s="11"/>
      <c r="E32" s="11"/>
      <c r="F32" s="22" t="s">
        <v>114</v>
      </c>
      <c r="G32" s="12"/>
      <c r="M32" s="29" t="s">
        <v>196</v>
      </c>
      <c r="N32" s="8" t="s">
        <v>197</v>
      </c>
      <c r="O32" s="8" t="s">
        <v>195</v>
      </c>
    </row>
    <row r="33" spans="1:8" x14ac:dyDescent="0.25">
      <c r="A33" s="10">
        <f>A32+1</f>
        <v>14</v>
      </c>
      <c r="B33" s="10" t="s">
        <v>111</v>
      </c>
      <c r="C33" s="10" t="s">
        <v>110</v>
      </c>
      <c r="D33" s="21"/>
      <c r="E33" s="11"/>
      <c r="F33" s="13" t="s">
        <v>113</v>
      </c>
      <c r="G33" s="12"/>
    </row>
    <row r="34" spans="1:8" x14ac:dyDescent="0.25">
      <c r="A34" s="10">
        <f>A33+1</f>
        <v>15</v>
      </c>
      <c r="B34" s="10" t="s">
        <v>111</v>
      </c>
      <c r="C34" s="10" t="s">
        <v>110</v>
      </c>
      <c r="D34" s="21"/>
      <c r="E34" s="11"/>
      <c r="F34" s="13" t="s">
        <v>70</v>
      </c>
      <c r="G34" s="12"/>
    </row>
    <row r="35" spans="1:8" x14ac:dyDescent="0.25">
      <c r="A35" s="10">
        <f>A34+1</f>
        <v>16</v>
      </c>
      <c r="B35" s="10" t="s">
        <v>111</v>
      </c>
      <c r="C35" s="10" t="s">
        <v>110</v>
      </c>
      <c r="D35" s="11"/>
      <c r="E35" s="11"/>
      <c r="F35" s="13" t="s">
        <v>70</v>
      </c>
      <c r="G35" s="12"/>
    </row>
    <row r="36" spans="1:8" x14ac:dyDescent="0.25">
      <c r="A36" s="10"/>
      <c r="B36" s="10"/>
      <c r="C36" s="10"/>
      <c r="D36" s="11"/>
      <c r="E36" s="11"/>
      <c r="F36" s="11"/>
      <c r="G36" s="12"/>
      <c r="H36" s="17"/>
    </row>
    <row r="37" spans="1:8" x14ac:dyDescent="0.25">
      <c r="A37" s="10"/>
      <c r="B37" s="10"/>
      <c r="C37" s="10"/>
      <c r="D37" s="11"/>
      <c r="E37" s="11"/>
      <c r="F37" s="11"/>
      <c r="G37" s="12"/>
    </row>
    <row r="38" spans="1:8" x14ac:dyDescent="0.25">
      <c r="A38" s="10"/>
      <c r="B38" s="10"/>
      <c r="C38" s="10"/>
      <c r="D38" s="11"/>
      <c r="E38" s="11"/>
      <c r="F38" s="11"/>
      <c r="G38" s="12"/>
    </row>
    <row r="39" spans="1:8" x14ac:dyDescent="0.25">
      <c r="A39" s="10"/>
      <c r="B39" s="10"/>
      <c r="C39" s="10"/>
      <c r="D39" s="11"/>
      <c r="E39" s="11"/>
      <c r="F39" s="11"/>
      <c r="G39" s="12"/>
    </row>
    <row r="40" spans="1:8" x14ac:dyDescent="0.25">
      <c r="A40" s="10"/>
      <c r="B40" s="10"/>
      <c r="C40" s="10"/>
      <c r="D40" s="11"/>
      <c r="E40" s="11"/>
      <c r="F40" s="11"/>
      <c r="G40" s="12"/>
    </row>
    <row r="41" spans="1:8" x14ac:dyDescent="0.25">
      <c r="A41" s="10"/>
      <c r="B41" s="10"/>
      <c r="C41" s="10"/>
      <c r="D41" s="11"/>
      <c r="E41" s="11"/>
      <c r="F41" s="11"/>
      <c r="G41" s="12"/>
    </row>
    <row r="42" spans="1:8" x14ac:dyDescent="0.25">
      <c r="A42" s="10"/>
      <c r="B42" s="10"/>
      <c r="C42" s="10"/>
      <c r="D42" s="21"/>
      <c r="E42" s="21"/>
      <c r="F42" s="13"/>
      <c r="G42" s="12"/>
      <c r="H42" s="17"/>
    </row>
    <row r="43" spans="1:8" x14ac:dyDescent="0.25">
      <c r="A43" s="10"/>
      <c r="B43" s="10"/>
      <c r="C43" s="10"/>
      <c r="D43" s="11"/>
      <c r="E43" s="11"/>
      <c r="F43" s="13"/>
      <c r="G43" s="12"/>
    </row>
    <row r="44" spans="1:8" x14ac:dyDescent="0.25">
      <c r="A44" s="10"/>
      <c r="B44" s="10"/>
      <c r="C44" s="10"/>
      <c r="D44" s="21"/>
      <c r="E44" s="21"/>
      <c r="F44" s="13"/>
      <c r="G44" s="12"/>
    </row>
    <row r="45" spans="1:8" x14ac:dyDescent="0.25">
      <c r="A45" s="10"/>
      <c r="B45" s="10"/>
      <c r="C45" s="10"/>
      <c r="D45" s="21"/>
      <c r="E45" s="21"/>
      <c r="F45" s="13"/>
      <c r="G45" s="12"/>
    </row>
    <row r="46" spans="1:8" x14ac:dyDescent="0.25">
      <c r="A46" s="10"/>
      <c r="B46" s="10"/>
      <c r="C46" s="10"/>
      <c r="D46" s="21"/>
      <c r="E46" s="21"/>
      <c r="F46" s="13"/>
      <c r="G46" s="12"/>
    </row>
    <row r="47" spans="1:8" x14ac:dyDescent="0.25">
      <c r="A47" s="10"/>
      <c r="B47" s="10"/>
      <c r="C47" s="10"/>
      <c r="D47" s="11"/>
      <c r="E47" s="11"/>
      <c r="F47" s="13"/>
      <c r="G47" s="12"/>
      <c r="H47" s="17"/>
    </row>
    <row r="48" spans="1:8" x14ac:dyDescent="0.25">
      <c r="A48" s="10"/>
      <c r="B48" s="10"/>
      <c r="C48" s="10"/>
      <c r="D48" s="21"/>
      <c r="E48" s="21"/>
      <c r="F48" s="13"/>
      <c r="G48" s="12"/>
    </row>
    <row r="49" spans="1:8" x14ac:dyDescent="0.25">
      <c r="A49" s="10"/>
      <c r="B49" s="10"/>
      <c r="C49" s="10"/>
      <c r="D49" s="21"/>
      <c r="E49" s="21"/>
      <c r="F49" s="22"/>
      <c r="G49" s="12"/>
    </row>
    <row r="50" spans="1:8" x14ac:dyDescent="0.25">
      <c r="A50" s="10"/>
      <c r="B50" s="10"/>
      <c r="C50" s="10"/>
      <c r="D50" s="21"/>
      <c r="E50" s="21"/>
      <c r="F50" s="22"/>
      <c r="G50" s="12"/>
    </row>
    <row r="51" spans="1:8" x14ac:dyDescent="0.25">
      <c r="A51" s="10"/>
      <c r="B51" s="10"/>
      <c r="C51" s="10"/>
      <c r="D51" s="15"/>
      <c r="E51" s="11"/>
      <c r="F51" s="21"/>
      <c r="G51" s="24"/>
      <c r="H51" s="17"/>
    </row>
    <row r="52" spans="1:8" x14ac:dyDescent="0.25">
      <c r="A52" s="10"/>
      <c r="B52" s="10"/>
      <c r="C52" s="10"/>
      <c r="D52" s="15"/>
      <c r="E52" s="11"/>
      <c r="F52" s="19"/>
      <c r="G52" s="12"/>
    </row>
    <row r="53" spans="1:8" x14ac:dyDescent="0.25">
      <c r="A53" s="10"/>
      <c r="B53" s="10"/>
      <c r="C53" s="10"/>
      <c r="D53" s="15"/>
      <c r="E53" s="11"/>
      <c r="F53" s="8"/>
      <c r="G53" s="12"/>
      <c r="H53" s="17"/>
    </row>
    <row r="54" spans="1:8" x14ac:dyDescent="0.25">
      <c r="A54" s="10"/>
      <c r="B54" s="10"/>
      <c r="C54" s="10"/>
      <c r="D54" s="11"/>
      <c r="E54" s="11"/>
      <c r="F54" s="19"/>
      <c r="G54" s="24"/>
      <c r="H54" s="17"/>
    </row>
    <row r="55" spans="1:8" x14ac:dyDescent="0.25">
      <c r="A55" s="10"/>
      <c r="B55" s="10"/>
      <c r="C55" s="10"/>
      <c r="D55" s="11"/>
      <c r="E55" s="11"/>
      <c r="F55" s="19"/>
      <c r="G55" s="12"/>
    </row>
    <row r="56" spans="1:8" x14ac:dyDescent="0.25">
      <c r="A56" s="10"/>
      <c r="B56" s="10"/>
      <c r="C56" s="10"/>
      <c r="D56" s="11"/>
      <c r="E56" s="11"/>
      <c r="F56" s="11"/>
      <c r="G56" s="12"/>
    </row>
    <row r="57" spans="1:8" x14ac:dyDescent="0.25">
      <c r="A57" s="10"/>
      <c r="B57" s="10"/>
      <c r="C57" s="10"/>
      <c r="D57" s="11"/>
      <c r="E57" s="11"/>
      <c r="F57" s="19"/>
      <c r="G57" s="24"/>
      <c r="H57" s="17"/>
    </row>
    <row r="58" spans="1:8" x14ac:dyDescent="0.25">
      <c r="A58" s="10"/>
      <c r="B58" s="10"/>
      <c r="C58" s="10"/>
      <c r="D58" s="11"/>
      <c r="E58" s="11"/>
      <c r="F58" s="11"/>
      <c r="G58" s="12"/>
    </row>
    <row r="59" spans="1:8" x14ac:dyDescent="0.25">
      <c r="A59" s="10"/>
      <c r="B59" s="10"/>
      <c r="C59" s="10"/>
      <c r="D59" s="23"/>
      <c r="E59" s="11"/>
      <c r="F59" s="22"/>
      <c r="G59" s="12"/>
    </row>
    <row r="60" spans="1:8" x14ac:dyDescent="0.25">
      <c r="A60" s="10"/>
      <c r="B60" s="10"/>
      <c r="C60" s="10"/>
      <c r="D60" s="11"/>
      <c r="E60" s="11"/>
      <c r="F60" s="22"/>
      <c r="G60" s="12"/>
    </row>
    <row r="61" spans="1:8" x14ac:dyDescent="0.25">
      <c r="A61" s="20"/>
      <c r="B61" s="10"/>
      <c r="C61" s="10"/>
      <c r="D61" s="21"/>
      <c r="E61" s="11"/>
      <c r="F61" s="13"/>
      <c r="G61" s="12"/>
    </row>
    <row r="62" spans="1:8" x14ac:dyDescent="0.25">
      <c r="A62" s="20"/>
      <c r="B62" s="10"/>
      <c r="C62" s="10"/>
      <c r="D62" s="21"/>
      <c r="E62" s="11"/>
      <c r="F62" s="13"/>
      <c r="G62" s="12"/>
    </row>
    <row r="63" spans="1:8" x14ac:dyDescent="0.25">
      <c r="A63" s="20"/>
      <c r="B63" s="10"/>
      <c r="C63" s="10"/>
      <c r="D63" s="11"/>
      <c r="E63" s="11"/>
      <c r="F63" s="13"/>
      <c r="G63" s="12"/>
    </row>
    <row r="64" spans="1:8" x14ac:dyDescent="0.25">
      <c r="A64" s="20"/>
      <c r="B64" s="10"/>
      <c r="C64" s="10"/>
      <c r="D64" s="21"/>
      <c r="E64" s="11"/>
      <c r="F64" s="13"/>
      <c r="G64" s="12"/>
    </row>
    <row r="65" spans="1:8" x14ac:dyDescent="0.25">
      <c r="A65" s="20"/>
      <c r="B65" s="10"/>
      <c r="C65" s="10"/>
      <c r="D65" s="21"/>
      <c r="E65" s="11"/>
      <c r="F65" s="13"/>
      <c r="G65" s="12"/>
    </row>
    <row r="66" spans="1:8" x14ac:dyDescent="0.25">
      <c r="A66" s="20"/>
      <c r="B66" s="10"/>
      <c r="C66" s="10"/>
      <c r="D66" s="21"/>
      <c r="E66" s="11"/>
      <c r="F66" s="13"/>
      <c r="G66" s="12"/>
    </row>
    <row r="67" spans="1:8" x14ac:dyDescent="0.25">
      <c r="A67" s="20"/>
      <c r="B67" s="10"/>
      <c r="C67" s="10"/>
      <c r="D67" s="21"/>
      <c r="E67" s="11"/>
      <c r="F67" s="13"/>
      <c r="G67" s="12"/>
    </row>
    <row r="68" spans="1:8" x14ac:dyDescent="0.25">
      <c r="A68" s="20"/>
      <c r="B68" s="10"/>
      <c r="C68" s="10"/>
      <c r="D68" s="11"/>
      <c r="E68" s="11"/>
      <c r="F68" s="13"/>
      <c r="G68" s="12"/>
    </row>
    <row r="69" spans="1:8" x14ac:dyDescent="0.25">
      <c r="A69" s="20"/>
      <c r="B69" s="10"/>
      <c r="C69" s="10"/>
      <c r="D69" s="21"/>
      <c r="E69" s="11"/>
      <c r="F69" s="22"/>
      <c r="G69" s="12"/>
    </row>
    <row r="70" spans="1:8" x14ac:dyDescent="0.25">
      <c r="A70" s="20"/>
      <c r="B70" s="10"/>
      <c r="C70" s="10"/>
      <c r="D70" s="21"/>
      <c r="E70" s="11"/>
      <c r="F70" s="22"/>
      <c r="G70" s="12"/>
    </row>
    <row r="71" spans="1:8" x14ac:dyDescent="0.25">
      <c r="A71" s="10"/>
      <c r="B71" s="10"/>
      <c r="C71" s="10"/>
      <c r="D71" s="15"/>
      <c r="E71" s="11"/>
      <c r="F71" s="19"/>
      <c r="G71" s="12"/>
      <c r="H71" s="15"/>
    </row>
    <row r="72" spans="1:8" x14ac:dyDescent="0.25">
      <c r="D72" s="15"/>
      <c r="E72" s="11"/>
      <c r="F72" s="19"/>
      <c r="G72" s="12"/>
      <c r="H72" s="15"/>
    </row>
  </sheetData>
  <sortState ref="A2:H35">
    <sortCondition descending="1" ref="B2:B35"/>
    <sortCondition ref="A2:A35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_Génération_Macro_Jenkins">
                <anchor moveWithCells="1" sizeWithCells="1">
                  <from>
                    <xdr:col>9</xdr:col>
                    <xdr:colOff>390525</xdr:colOff>
                    <xdr:row>0</xdr:row>
                    <xdr:rowOff>28575</xdr:rowOff>
                  </from>
                  <to>
                    <xdr:col>11</xdr:col>
                    <xdr:colOff>381000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AZ">
                <anchor moveWithCells="1" sizeWithCells="1">
                  <from>
                    <xdr:col>9</xdr:col>
                    <xdr:colOff>381000</xdr:colOff>
                    <xdr:row>7</xdr:row>
                    <xdr:rowOff>19050</xdr:rowOff>
                  </from>
                  <to>
                    <xdr:col>11</xdr:col>
                    <xdr:colOff>371475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uton_GitLab_Macro_et_Transformers">
                <anchor moveWithCells="1" sizeWithCells="1">
                  <from>
                    <xdr:col>9</xdr:col>
                    <xdr:colOff>390525</xdr:colOff>
                    <xdr:row>1</xdr:row>
                    <xdr:rowOff>95250</xdr:rowOff>
                  </from>
                  <to>
                    <xdr:col>11</xdr:col>
                    <xdr:colOff>381000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J_TransformersJenkins">
                <anchor moveWithCells="1" sizeWithCells="1">
                  <from>
                    <xdr:col>9</xdr:col>
                    <xdr:colOff>400050</xdr:colOff>
                    <xdr:row>4</xdr:row>
                    <xdr:rowOff>9525</xdr:rowOff>
                  </from>
                  <to>
                    <xdr:col>11</xdr:col>
                    <xdr:colOff>390525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122"/>
  <sheetViews>
    <sheetView workbookViewId="0"/>
  </sheetViews>
  <sheetFormatPr baseColWidth="10" defaultRowHeight="15" x14ac:dyDescent="0.25"/>
  <sheetData>
    <row r="1" spans="1:1" x14ac:dyDescent="0.25">
      <c r="A1" t="s">
        <v>11</v>
      </c>
    </row>
    <row r="2" spans="1:1" x14ac:dyDescent="0.25">
      <c r="A2" t="s">
        <v>12</v>
      </c>
    </row>
    <row r="3" spans="1:1" x14ac:dyDescent="0.25">
      <c r="A3" t="s">
        <v>13</v>
      </c>
    </row>
    <row r="4" spans="1:1" x14ac:dyDescent="0.25">
      <c r="A4" t="str">
        <f>"# | Version TRANSFORMERS : "&amp;TEXT(Accueil!P2,"JJ/MM/AAAA")</f>
        <v># | Version TRANSFORMERS : 25/06/2020</v>
      </c>
    </row>
    <row r="5" spans="1:1" x14ac:dyDescent="0.25">
      <c r="A5" t="str">
        <f>"# | Version PARPRE : "&amp;TEXT(Accueil!R1,"JJ/MM/AAAA")</f>
        <v># | Version PARPRE : 10/12/2019</v>
      </c>
    </row>
    <row r="6" spans="1:1" x14ac:dyDescent="0.25">
      <c r="A6" t="str">
        <f>"# | Version EBO : "&amp;TEXT(Accueil!R2,"JJ/MM/AAAA")</f>
        <v># | Version EBO : 26/05/2020</v>
      </c>
    </row>
    <row r="7" spans="1:1" x14ac:dyDescent="0.25">
      <c r="A7" t="str">
        <f ca="1">CONCATENATE("# | Date creation  : ",TEXT(NOW(),"jj/mm/aaaa hh:mm:ss"))</f>
        <v># | Date creation  : 29/09/2020 14:50:08</v>
      </c>
    </row>
    <row r="8" spans="1:1" x14ac:dyDescent="0.25">
      <c r="A8" t="s">
        <v>12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15</v>
      </c>
    </row>
    <row r="13" spans="1:1" x14ac:dyDescent="0.25">
      <c r="A13" t="s">
        <v>17</v>
      </c>
    </row>
    <row r="14" spans="1:1" x14ac:dyDescent="0.25">
      <c r="A14" t="s">
        <v>12</v>
      </c>
    </row>
    <row r="15" spans="1:1" x14ac:dyDescent="0.25">
      <c r="A15" t="s">
        <v>18</v>
      </c>
    </row>
    <row r="16" spans="1:1" x14ac:dyDescent="0.25">
      <c r="A16" t="s">
        <v>15</v>
      </c>
    </row>
    <row r="17" spans="1:1" x14ac:dyDescent="0.25">
      <c r="A17" t="s">
        <v>19</v>
      </c>
    </row>
    <row r="18" spans="1:1" x14ac:dyDescent="0.25">
      <c r="A18" t="s">
        <v>12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9" spans="1:1" x14ac:dyDescent="0.25">
      <c r="A29" t="s">
        <v>27</v>
      </c>
    </row>
    <row r="30" spans="1:1" x14ac:dyDescent="0.25">
      <c r="A30" t="s">
        <v>28</v>
      </c>
    </row>
    <row r="31" spans="1:1" x14ac:dyDescent="0.25">
      <c r="A31" t="s">
        <v>29</v>
      </c>
    </row>
    <row r="32" spans="1:1" x14ac:dyDescent="0.25">
      <c r="A32" t="s">
        <v>30</v>
      </c>
    </row>
    <row r="33" spans="1:1" x14ac:dyDescent="0.25">
      <c r="A33" t="s">
        <v>31</v>
      </c>
    </row>
    <row r="34" spans="1:1" x14ac:dyDescent="0.25">
      <c r="A34" t="s">
        <v>32</v>
      </c>
    </row>
    <row r="35" spans="1:1" x14ac:dyDescent="0.25">
      <c r="A35" t="s">
        <v>33</v>
      </c>
    </row>
    <row r="36" spans="1:1" x14ac:dyDescent="0.25">
      <c r="A36" t="s">
        <v>34</v>
      </c>
    </row>
    <row r="38" spans="1:1" x14ac:dyDescent="0.25">
      <c r="A38" t="s">
        <v>35</v>
      </c>
    </row>
    <row r="39" spans="1:1" x14ac:dyDescent="0.25">
      <c r="A39" t="s">
        <v>36</v>
      </c>
    </row>
    <row r="40" spans="1:1" x14ac:dyDescent="0.25">
      <c r="A40" t="s">
        <v>37</v>
      </c>
    </row>
    <row r="41" spans="1:1" x14ac:dyDescent="0.25">
      <c r="A41" t="s">
        <v>38</v>
      </c>
    </row>
    <row r="42" spans="1:1" x14ac:dyDescent="0.25">
      <c r="A42" t="s">
        <v>39</v>
      </c>
    </row>
    <row r="43" spans="1:1" x14ac:dyDescent="0.25">
      <c r="A43" t="s">
        <v>40</v>
      </c>
    </row>
    <row r="44" spans="1:1" x14ac:dyDescent="0.25">
      <c r="A44" t="s">
        <v>41</v>
      </c>
    </row>
    <row r="46" spans="1:1" x14ac:dyDescent="0.25">
      <c r="A46" t="s">
        <v>42</v>
      </c>
    </row>
    <row r="47" spans="1:1" x14ac:dyDescent="0.25">
      <c r="A47" t="s">
        <v>43</v>
      </c>
    </row>
    <row r="48" spans="1:1" x14ac:dyDescent="0.25">
      <c r="A48" t="s">
        <v>44</v>
      </c>
    </row>
    <row r="49" spans="1:1" x14ac:dyDescent="0.25">
      <c r="A49" t="s">
        <v>41</v>
      </c>
    </row>
    <row r="51" spans="1:1" x14ac:dyDescent="0.25">
      <c r="A51" t="s">
        <v>124</v>
      </c>
    </row>
    <row r="52" spans="1:1" x14ac:dyDescent="0.25">
      <c r="A52" t="s">
        <v>126</v>
      </c>
    </row>
    <row r="53" spans="1:1" x14ac:dyDescent="0.25">
      <c r="A53" t="s">
        <v>127</v>
      </c>
    </row>
    <row r="54" spans="1:1" x14ac:dyDescent="0.25">
      <c r="A54" t="s">
        <v>41</v>
      </c>
    </row>
    <row r="56" spans="1:1" x14ac:dyDescent="0.25">
      <c r="A56" t="s">
        <v>45</v>
      </c>
    </row>
    <row r="57" spans="1:1" x14ac:dyDescent="0.25">
      <c r="A57" t="s">
        <v>125</v>
      </c>
    </row>
    <row r="58" spans="1:1" x14ac:dyDescent="0.25">
      <c r="A58" t="s">
        <v>46</v>
      </c>
    </row>
    <row r="59" spans="1:1" x14ac:dyDescent="0.25">
      <c r="A59" t="s">
        <v>41</v>
      </c>
    </row>
    <row r="60" spans="1:1" x14ac:dyDescent="0.25">
      <c r="A60" t="s">
        <v>47</v>
      </c>
    </row>
    <row r="62" spans="1:1" x14ac:dyDescent="0.25">
      <c r="A62" t="s">
        <v>48</v>
      </c>
    </row>
    <row r="63" spans="1:1" x14ac:dyDescent="0.25">
      <c r="A63" t="s">
        <v>28</v>
      </c>
    </row>
    <row r="64" spans="1:1" x14ac:dyDescent="0.25">
      <c r="A64" t="s">
        <v>49</v>
      </c>
    </row>
    <row r="65" spans="1:1" x14ac:dyDescent="0.25">
      <c r="A65" t="s">
        <v>34</v>
      </c>
    </row>
    <row r="66" spans="1:1" x14ac:dyDescent="0.25">
      <c r="A66" t="s">
        <v>50</v>
      </c>
    </row>
    <row r="67" spans="1:1" x14ac:dyDescent="0.25">
      <c r="A67" t="s">
        <v>51</v>
      </c>
    </row>
    <row r="68" spans="1:1" x14ac:dyDescent="0.25">
      <c r="A68" t="s">
        <v>28</v>
      </c>
    </row>
    <row r="69" spans="1:1" x14ac:dyDescent="0.25">
      <c r="A69" t="s">
        <v>52</v>
      </c>
    </row>
    <row r="70" spans="1:1" x14ac:dyDescent="0.25">
      <c r="A70" t="s">
        <v>34</v>
      </c>
    </row>
    <row r="72" spans="1:1" x14ac:dyDescent="0.25">
      <c r="A72" t="s">
        <v>53</v>
      </c>
    </row>
    <row r="73" spans="1:1" x14ac:dyDescent="0.25">
      <c r="A73" t="s">
        <v>28</v>
      </c>
    </row>
    <row r="74" spans="1:1" x14ac:dyDescent="0.25">
      <c r="A74" t="s">
        <v>54</v>
      </c>
    </row>
    <row r="75" spans="1:1" x14ac:dyDescent="0.25">
      <c r="A75" t="s">
        <v>34</v>
      </c>
    </row>
    <row r="77" spans="1:1" x14ac:dyDescent="0.25">
      <c r="A77" t="s">
        <v>55</v>
      </c>
    </row>
    <row r="78" spans="1:1" x14ac:dyDescent="0.25">
      <c r="A78" t="s">
        <v>28</v>
      </c>
    </row>
    <row r="79" spans="1:1" x14ac:dyDescent="0.25">
      <c r="A79" t="s">
        <v>56</v>
      </c>
    </row>
    <row r="80" spans="1:1" x14ac:dyDescent="0.25">
      <c r="A80" t="s">
        <v>34</v>
      </c>
    </row>
    <row r="82" spans="1:1" x14ac:dyDescent="0.25">
      <c r="A82" t="s">
        <v>57</v>
      </c>
    </row>
    <row r="83" spans="1:1" x14ac:dyDescent="0.25">
      <c r="A83" t="s">
        <v>58</v>
      </c>
    </row>
    <row r="84" spans="1:1" x14ac:dyDescent="0.25">
      <c r="A84" t="s">
        <v>31</v>
      </c>
    </row>
    <row r="85" spans="1:1" x14ac:dyDescent="0.25">
      <c r="A85" t="s">
        <v>59</v>
      </c>
    </row>
    <row r="86" spans="1:1" x14ac:dyDescent="0.25">
      <c r="A86" t="s">
        <v>60</v>
      </c>
    </row>
    <row r="87" spans="1:1" x14ac:dyDescent="0.25">
      <c r="A87" t="s">
        <v>61</v>
      </c>
    </row>
    <row r="88" spans="1:1" x14ac:dyDescent="0.25">
      <c r="A88" t="s">
        <v>33</v>
      </c>
    </row>
    <row r="89" spans="1:1" x14ac:dyDescent="0.25">
      <c r="A89" t="s">
        <v>62</v>
      </c>
    </row>
    <row r="91" spans="1:1" x14ac:dyDescent="0.25">
      <c r="A91" t="s">
        <v>63</v>
      </c>
    </row>
    <row r="92" spans="1:1" x14ac:dyDescent="0.25">
      <c r="A92" t="s">
        <v>58</v>
      </c>
    </row>
    <row r="93" spans="1:1" x14ac:dyDescent="0.25">
      <c r="A93" t="s">
        <v>31</v>
      </c>
    </row>
    <row r="94" spans="1:1" x14ac:dyDescent="0.25">
      <c r="A94" t="s">
        <v>64</v>
      </c>
    </row>
    <row r="95" spans="1:1" x14ac:dyDescent="0.25">
      <c r="A95" t="s">
        <v>60</v>
      </c>
    </row>
    <row r="96" spans="1:1" x14ac:dyDescent="0.25">
      <c r="A96" t="s">
        <v>65</v>
      </c>
    </row>
    <row r="97" spans="1:1" x14ac:dyDescent="0.25">
      <c r="A97" t="s">
        <v>33</v>
      </c>
    </row>
    <row r="98" spans="1:1" x14ac:dyDescent="0.25">
      <c r="A98" t="s">
        <v>62</v>
      </c>
    </row>
    <row r="100" spans="1:1" x14ac:dyDescent="0.25">
      <c r="A100" t="s">
        <v>66</v>
      </c>
    </row>
    <row r="101" spans="1:1" x14ac:dyDescent="0.25">
      <c r="A101" t="str">
        <f>"echo """&amp;A4&amp;""""</f>
        <v>echo "# | Version TRANSFORMERS : 25/06/2020"</v>
      </c>
    </row>
    <row r="102" spans="1:1" x14ac:dyDescent="0.25">
      <c r="A102" t="str">
        <f t="shared" ref="A102:A104" si="0">"echo """&amp;A5&amp;""""</f>
        <v>echo "# | Version PARPRE : 10/12/2019"</v>
      </c>
    </row>
    <row r="103" spans="1:1" x14ac:dyDescent="0.25">
      <c r="A103" t="str">
        <f t="shared" si="0"/>
        <v>echo "# | Version EBO : 26/05/2020"</v>
      </c>
    </row>
    <row r="104" spans="1:1" x14ac:dyDescent="0.25">
      <c r="A104" t="str">
        <f t="shared" ca="1" si="0"/>
        <v>echo "# | Date creation  : 29/09/2020 14:50:08"</v>
      </c>
    </row>
    <row r="106" spans="1:1" x14ac:dyDescent="0.25">
      <c r="A106" t="s">
        <v>37</v>
      </c>
    </row>
    <row r="107" spans="1:1" x14ac:dyDescent="0.25">
      <c r="A107" t="s">
        <v>97</v>
      </c>
    </row>
    <row r="108" spans="1:1" x14ac:dyDescent="0.25">
      <c r="A108" t="s">
        <v>98</v>
      </c>
    </row>
    <row r="109" spans="1:1" x14ac:dyDescent="0.25">
      <c r="A109" t="s">
        <v>99</v>
      </c>
    </row>
    <row r="111" spans="1:1" x14ac:dyDescent="0.25">
      <c r="A111" t="s">
        <v>100</v>
      </c>
    </row>
    <row r="112" spans="1:1" x14ac:dyDescent="0.25">
      <c r="A112" t="s">
        <v>101</v>
      </c>
    </row>
    <row r="113" spans="1:1" x14ac:dyDescent="0.25">
      <c r="A113" t="s">
        <v>99</v>
      </c>
    </row>
    <row r="115" spans="1:1" x14ac:dyDescent="0.25">
      <c r="A115" t="s">
        <v>122</v>
      </c>
    </row>
    <row r="116" spans="1:1" x14ac:dyDescent="0.25">
      <c r="A116" t="s">
        <v>123</v>
      </c>
    </row>
    <row r="117" spans="1:1" x14ac:dyDescent="0.25">
      <c r="A117" t="s">
        <v>99</v>
      </c>
    </row>
    <row r="118" spans="1:1" x14ac:dyDescent="0.25">
      <c r="A118" t="s">
        <v>47</v>
      </c>
    </row>
    <row r="120" spans="1:1" x14ac:dyDescent="0.25">
      <c r="A120" t="s">
        <v>67</v>
      </c>
    </row>
    <row r="122" spans="1:1" x14ac:dyDescent="0.25">
      <c r="A122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9"/>
  <sheetViews>
    <sheetView workbookViewId="0"/>
  </sheetViews>
  <sheetFormatPr baseColWidth="10" defaultRowHeight="15" x14ac:dyDescent="0.25"/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103</v>
      </c>
    </row>
    <row r="4" spans="1:1" x14ac:dyDescent="0.25">
      <c r="A4" t="s">
        <v>71</v>
      </c>
    </row>
    <row r="5" spans="1:1" x14ac:dyDescent="0.25">
      <c r="A5" t="s">
        <v>72</v>
      </c>
    </row>
    <row r="6" spans="1:1" x14ac:dyDescent="0.25">
      <c r="A6" t="s">
        <v>73</v>
      </c>
    </row>
    <row r="7" spans="1:1" x14ac:dyDescent="0.25">
      <c r="A7" t="s">
        <v>74</v>
      </c>
    </row>
    <row r="8" spans="1:1" x14ac:dyDescent="0.25">
      <c r="A8" t="s">
        <v>75</v>
      </c>
    </row>
    <row r="9" spans="1:1" x14ac:dyDescent="0.25">
      <c r="A9" t="s">
        <v>104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76</v>
      </c>
    </row>
    <row r="2" spans="1:1" x14ac:dyDescent="0.25">
      <c r="A2" s="3" t="s">
        <v>77</v>
      </c>
    </row>
    <row r="3" spans="1:1" x14ac:dyDescent="0.25">
      <c r="A3" s="3" t="s">
        <v>78</v>
      </c>
    </row>
    <row r="4" spans="1:1" x14ac:dyDescent="0.25">
      <c r="A4" s="3" t="s">
        <v>79</v>
      </c>
    </row>
    <row r="5" spans="1:1" x14ac:dyDescent="0.25">
      <c r="A5" s="3" t="s">
        <v>80</v>
      </c>
    </row>
    <row r="6" spans="1:1" x14ac:dyDescent="0.25">
      <c r="A6" s="3" t="s">
        <v>81</v>
      </c>
    </row>
    <row r="7" spans="1:1" x14ac:dyDescent="0.25">
      <c r="A7" s="3" t="s">
        <v>82</v>
      </c>
    </row>
    <row r="8" spans="1:1" x14ac:dyDescent="0.25">
      <c r="A8" s="3" t="s">
        <v>83</v>
      </c>
    </row>
    <row r="9" spans="1:1" x14ac:dyDescent="0.25">
      <c r="A9" s="3" t="s">
        <v>84</v>
      </c>
    </row>
    <row r="10" spans="1:1" x14ac:dyDescent="0.25">
      <c r="A10" s="3" t="s">
        <v>85</v>
      </c>
    </row>
    <row r="11" spans="1:1" x14ac:dyDescent="0.25">
      <c r="A11" s="3" t="s">
        <v>86</v>
      </c>
    </row>
    <row r="12" spans="1:1" x14ac:dyDescent="0.25">
      <c r="A12" s="3" t="s">
        <v>87</v>
      </c>
    </row>
    <row r="13" spans="1:1" x14ac:dyDescent="0.25">
      <c r="A13" s="3" t="s">
        <v>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76</v>
      </c>
    </row>
    <row r="2" spans="1:1" x14ac:dyDescent="0.25">
      <c r="A2" s="3" t="s">
        <v>77</v>
      </c>
    </row>
    <row r="3" spans="1:1" x14ac:dyDescent="0.25">
      <c r="A3" s="3" t="s">
        <v>78</v>
      </c>
    </row>
    <row r="4" spans="1:1" x14ac:dyDescent="0.25">
      <c r="A4" s="3" t="s">
        <v>79</v>
      </c>
    </row>
    <row r="5" spans="1:1" x14ac:dyDescent="0.25">
      <c r="A5" s="3" t="s">
        <v>80</v>
      </c>
    </row>
    <row r="6" spans="1:1" x14ac:dyDescent="0.25">
      <c r="A6" s="3" t="s">
        <v>81</v>
      </c>
    </row>
    <row r="7" spans="1:1" x14ac:dyDescent="0.25">
      <c r="A7" t="s">
        <v>89</v>
      </c>
    </row>
    <row r="8" spans="1:1" x14ac:dyDescent="0.25">
      <c r="A8" t="s">
        <v>90</v>
      </c>
    </row>
    <row r="9" spans="1:1" x14ac:dyDescent="0.25">
      <c r="A9" t="s">
        <v>87</v>
      </c>
    </row>
    <row r="10" spans="1:1" x14ac:dyDescent="0.25">
      <c r="A10" t="s">
        <v>86</v>
      </c>
    </row>
    <row r="11" spans="1:1" x14ac:dyDescent="0.25">
      <c r="A11" t="s">
        <v>84</v>
      </c>
    </row>
    <row r="12" spans="1:1" x14ac:dyDescent="0.25">
      <c r="A12" t="s">
        <v>85</v>
      </c>
    </row>
    <row r="13" spans="1:1" x14ac:dyDescent="0.25">
      <c r="A13" t="s">
        <v>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H21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6.42578125" style="28" bestFit="1" customWidth="1"/>
    <col min="2" max="2" width="8" style="28" bestFit="1" customWidth="1"/>
    <col min="3" max="3" width="9.5703125" style="28" bestFit="1" customWidth="1"/>
    <col min="6" max="6" width="91.85546875" bestFit="1" customWidth="1"/>
    <col min="7" max="7" width="15.7109375" bestFit="1" customWidth="1"/>
  </cols>
  <sheetData>
    <row r="1" spans="1:8" ht="30" x14ac:dyDescent="0.25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27" t="s">
        <v>3</v>
      </c>
      <c r="G1" s="1" t="s">
        <v>4</v>
      </c>
      <c r="H1" s="5" t="s">
        <v>96</v>
      </c>
    </row>
    <row r="2" spans="1:8" x14ac:dyDescent="0.25">
      <c r="A2" s="28">
        <v>16</v>
      </c>
      <c r="B2" s="28" t="s">
        <v>107</v>
      </c>
      <c r="C2" s="28" t="s">
        <v>109</v>
      </c>
      <c r="D2" t="s">
        <v>133</v>
      </c>
      <c r="E2" t="s">
        <v>134</v>
      </c>
      <c r="F2" t="s">
        <v>136</v>
      </c>
      <c r="G2">
        <v>1</v>
      </c>
    </row>
    <row r="3" spans="1:8" x14ac:dyDescent="0.25">
      <c r="A3" s="28">
        <v>18</v>
      </c>
      <c r="B3" s="28" t="s">
        <v>107</v>
      </c>
      <c r="C3" s="28" t="s">
        <v>109</v>
      </c>
      <c r="D3" t="s">
        <v>137</v>
      </c>
      <c r="E3" t="s">
        <v>134</v>
      </c>
      <c r="F3" t="s">
        <v>136</v>
      </c>
      <c r="G3">
        <v>1</v>
      </c>
    </row>
    <row r="4" spans="1:8" x14ac:dyDescent="0.25">
      <c r="A4"/>
      <c r="B4"/>
      <c r="C4"/>
    </row>
    <row r="5" spans="1:8" x14ac:dyDescent="0.25">
      <c r="A5"/>
      <c r="B5"/>
      <c r="C5"/>
    </row>
    <row r="11" spans="1:8" x14ac:dyDescent="0.25">
      <c r="A11"/>
      <c r="B11"/>
      <c r="C11"/>
    </row>
    <row r="12" spans="1:8" x14ac:dyDescent="0.25">
      <c r="A12"/>
      <c r="B12"/>
      <c r="C12"/>
    </row>
    <row r="13" spans="1:8" x14ac:dyDescent="0.25">
      <c r="A13"/>
      <c r="B13"/>
      <c r="C13"/>
    </row>
    <row r="14" spans="1:8" x14ac:dyDescent="0.25">
      <c r="A14"/>
      <c r="B14"/>
      <c r="C14"/>
    </row>
    <row r="15" spans="1:8" x14ac:dyDescent="0.25">
      <c r="A15"/>
      <c r="B15"/>
      <c r="C15"/>
    </row>
    <row r="16" spans="1:8" x14ac:dyDescent="0.25">
      <c r="A16"/>
      <c r="B16"/>
      <c r="C16"/>
    </row>
    <row r="17" spans="1:3" x14ac:dyDescent="0.25">
      <c r="A17"/>
      <c r="B17"/>
      <c r="C17"/>
    </row>
    <row r="18" spans="1:3" x14ac:dyDescent="0.25">
      <c r="A18"/>
      <c r="B18"/>
      <c r="C18"/>
    </row>
    <row r="19" spans="1:3" x14ac:dyDescent="0.25">
      <c r="A19"/>
      <c r="B19"/>
      <c r="C19"/>
    </row>
    <row r="20" spans="1:3" x14ac:dyDescent="0.25">
      <c r="A20"/>
      <c r="B20"/>
      <c r="C20"/>
    </row>
    <row r="21" spans="1:3" x14ac:dyDescent="0.25">
      <c r="A21"/>
      <c r="B21"/>
      <c r="C21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E6C8AF51CD7045B1AA82DDD88B31F2" ma:contentTypeVersion="10" ma:contentTypeDescription="Create a new document." ma:contentTypeScope="" ma:versionID="35f084c08d0b5ecd009c362b7c492bf1">
  <xsd:schema xmlns:xsd="http://www.w3.org/2001/XMLSchema" xmlns:xs="http://www.w3.org/2001/XMLSchema" xmlns:p="http://schemas.microsoft.com/office/2006/metadata/properties" xmlns:ns1="http://schemas.microsoft.com/sharepoint/v3" xmlns:ns3="081bcfd3-8243-49d0-a795-91f3d32c97ca" targetNamespace="http://schemas.microsoft.com/office/2006/metadata/properties" ma:root="true" ma:fieldsID="2380dfe1c1b9f29ecf48f68c6c6a1dd6" ns1:_="" ns3:_="">
    <xsd:import namespace="http://schemas.microsoft.com/sharepoint/v3"/>
    <xsd:import namespace="081bcfd3-8243-49d0-a795-91f3d32c97c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1bcfd3-8243-49d0-a795-91f3d32c97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85CE5F1-FB92-4980-BD92-F0EB5DFC60AA}">
  <ds:schemaRefs>
    <ds:schemaRef ds:uri="http://schemas.microsoft.com/sharepoint/v3"/>
    <ds:schemaRef ds:uri="081bcfd3-8243-49d0-a795-91f3d32c97ca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5F83C82-57FE-477F-904F-962DF8CAC34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F4C612D-B94B-43E7-8629-2609DCC745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81bcfd3-8243-49d0-a795-91f3d32c97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ModuleENT</vt:lpstr>
      <vt:lpstr>ModuleCMD</vt:lpstr>
      <vt:lpstr>ModuleVERIF_ENTIER</vt:lpstr>
      <vt:lpstr>ModuleVERIF_CHAINE</vt:lpstr>
      <vt:lpstr>ListeVERIF</vt:lpstr>
    </vt:vector>
  </TitlesOfParts>
  <Company>SFR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GUINTINI, Frédéric</dc:creator>
  <cp:lastModifiedBy>LOIEZ, Philippe</cp:lastModifiedBy>
  <dcterms:created xsi:type="dcterms:W3CDTF">2020-02-03T09:56:53Z</dcterms:created>
  <dcterms:modified xsi:type="dcterms:W3CDTF">2020-09-29T12:50:08Z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0x010100BAE6C8AF51CD7045B1AA82DDD88B31F2</vt:lpwstr>
  </property>
</Properties>
</file>