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162842\OneDrive (Sécurisé par Orizon)\OneDrive - Altice Campus SFR\Interne\jenkins\applicatifs\Tranformer\"/>
    </mc:Choice>
  </mc:AlternateContent>
  <bookViews>
    <workbookView xWindow="-120" yWindow="-120" windowWidth="20730" windowHeight="11160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externalReferences>
    <externalReference r:id="rId7"/>
  </externalReferenc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7" i="2" l="1"/>
  <c r="A4" i="2" l="1"/>
  <c r="A110" i="2" s="1"/>
  <c r="A6" i="2"/>
  <c r="A112" i="2" s="1"/>
  <c r="A5" i="2"/>
  <c r="A111" i="2" s="1"/>
  <c r="A113" i="2" l="1"/>
  <c r="N3" i="1" l="1"/>
  <c r="N2" i="1"/>
</calcChain>
</file>

<file path=xl/sharedStrings.xml><?xml version="1.0" encoding="utf-8"?>
<sst xmlns="http://schemas.openxmlformats.org/spreadsheetml/2006/main" count="449" uniqueCount="164">
  <si>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</si>
  <si>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</si>
  <si>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</si>
  <si>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</si>
  <si>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</si>
  <si>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</si>
  <si>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</si>
  <si>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</si>
  <si>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</si>
  <si>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</si>
  <si>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</si>
  <si>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</si>
  <si>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</si>
  <si>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</si>
  <si>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</si>
  <si>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</si>
  <si>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</si>
  <si>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</si>
  <si>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</si>
  <si>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</si>
  <si>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</si>
  <si>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</si>
  <si>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</si>
  <si>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</si>
  <si>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</si>
  <si>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</si>
  <si>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</si>
  <si>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</si>
  <si>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</si>
  <si>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</si>
  <si>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</si>
  <si>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</si>
  <si>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</si>
  <si>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</si>
  <si>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</si>
  <si>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</si>
  <si>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</si>
  <si>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</si>
  <si>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</si>
  <si>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</si>
  <si>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</si>
  <si>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</si>
  <si>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</si>
  <si>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</si>
  <si>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</si>
  <si>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</si>
  <si>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</si>
  <si>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</si>
  <si>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</si>
  <si>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</si>
  <si>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</si>
  <si>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</si>
  <si>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</si>
  <si>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</si>
  <si>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</si>
  <si>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</si>
  <si>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</si>
  <si>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</si>
  <si>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</si>
  <si>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</si>
  <si>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</si>
  <si>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</si>
  <si>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</si>
  <si>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</si>
  <si>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</si>
  <si>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</si>
  <si>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</si>
  <si>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</si>
  <si>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</si>
  <si>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</si>
  <si>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</si>
  <si>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</si>
  <si>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</si>
  <si>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</si>
  <si>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</si>
  <si>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</si>
  <si>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</si>
  <si>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</si>
  <si>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</si>
  <si>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</si>
  <si>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</si>
  <si>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</si>
  <si>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</si>
  <si>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</si>
  <si>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</si>
  <si>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</si>
  <si>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</si>
  <si>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</si>
  <si>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</si>
  <si>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</si>
  <si>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</si>
  <si>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</si>
  <si>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</si>
  <si>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</si>
  <si>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</si>
  <si>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</si>
  <si>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</si>
  <si>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</si>
  <si>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</si>
  <si>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</si>
  <si>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</si>
  <si>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</si>
  <si>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</si>
  <si>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</si>
  <si>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</si>
  <si>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</si>
  <si>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NOM_BDD</t>
  </si>
  <si>
    <t>R</t>
  </si>
  <si>
    <t>C</t>
  </si>
  <si>
    <t>V</t>
  </si>
  <si>
    <t>I</t>
  </si>
  <si>
    <t>A</t>
  </si>
  <si>
    <t>mysql</t>
  </si>
  <si>
    <t>/product/mysql/admin/scripts/BDDmysql.ksh start -i $NOM_BDD</t>
  </si>
  <si>
    <t>/product/mysql/admin/scripts/BDDmysql.ksh stop -i $NOM_BDD</t>
  </si>
  <si>
    <t>ps -ef | grep $NOM_BDD | grep -v grep | wc -l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</si>
  <si>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</si>
  <si>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</si>
  <si>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</si>
  <si>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</si>
  <si>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</si>
  <si>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</si>
  <si>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</si>
  <si>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</si>
  <si>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</si>
  <si>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</si>
  <si>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</si>
  <si>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chr(09) &amp;chr(09) &amp;echo</t>
  </si>
  <si>
    <t xml:space="preserve">chr(09) &amp;chr(09) &amp;echo "!!!!!!!!!!!!!!!!!!!!!!!!!!!!!!!!!!!!!!!!!!!!!!!!!!!!!!!!!!!!!!!!!!!!!!!!!!!!!!!!!!!!!!!!!!!!!!" </t>
  </si>
  <si>
    <t>BUILD_JENKINS_USER=$3</t>
  </si>
  <si>
    <t>APP3671_GENCIA</t>
  </si>
  <si>
    <t>Abdou K. GAYE</t>
  </si>
  <si>
    <t>SNBDD01</t>
  </si>
  <si>
    <t>SNAPP05</t>
  </si>
  <si>
    <t>webadmin</t>
  </si>
  <si>
    <t>systemctl --user start httpd@genciaorange.service</t>
  </si>
  <si>
    <t>systemctl --user start httpd@genciaportail.service</t>
  </si>
  <si>
    <t>ps -ef | grep genciaportail | grep -v grep | wc -l</t>
  </si>
  <si>
    <t>ps -ef | grep genciaorange | grep -v grep | wc -l</t>
  </si>
  <si>
    <t>SNAPP06</t>
  </si>
  <si>
    <t>HAPROXY01</t>
  </si>
  <si>
    <t>sudo systemctl start haproxy@gen.service</t>
  </si>
  <si>
    <t>ps -ef | grep "/usr/sbin/haproxy" | grep -v grep | wc -l</t>
  </si>
  <si>
    <t>HAPROXY02</t>
  </si>
  <si>
    <t>systemctl status haproxy@gen.service</t>
  </si>
  <si>
    <t>active (running)</t>
  </si>
  <si>
    <t>SNAPP04</t>
  </si>
  <si>
    <t>systemctl --user stop httpd@genciaportail.service</t>
  </si>
  <si>
    <t>systemctl --user stop httpd@genciaorange.service</t>
  </si>
  <si>
    <t>sudo systemctl stop haproxy@gen.service</t>
  </si>
  <si>
    <t>app01-gen-pr</t>
  </si>
  <si>
    <t>app01-gen-pp</t>
  </si>
  <si>
    <t>app02-gen-pr</t>
  </si>
  <si>
    <t>app02-gen-pp</t>
  </si>
  <si>
    <t>app03-gen-pr</t>
  </si>
  <si>
    <t>db01-gen-pr</t>
  </si>
  <si>
    <t>db01-gen-pp</t>
  </si>
  <si>
    <t>front01-gen-pr</t>
  </si>
  <si>
    <t>front02-gen-pr</t>
  </si>
  <si>
    <t>PGEN02P0</t>
  </si>
  <si>
    <t>KGEN02P0</t>
  </si>
  <si>
    <t>Active: inactive</t>
  </si>
  <si>
    <t>ps -ef| grep genciaportail|grep -v grep| wc -l</t>
  </si>
  <si>
    <t>ps -ef| grep genciaorange |grep -v grep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</si>
</sst>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333333"/>
      <name val="Arial Unicode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 applyProtection="1">
      <alignment vertic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0" xfId="0" applyNumberFormat="1" applyBorder="1" applyAlignment="1">
      <alignment horizontal="center"/>
    </xf>
    <xf numFmtId="0" fontId="5" fillId="0" borderId="0" xfId="0" applyFont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7" borderId="0" xfId="0" applyFill="1"/>
    <xf numFmtId="0" fontId="6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162842/OneDrive%20(S&#233;curis&#233;%20par%20Orizon)/OneDrive%20-%20Altice%20Campus%20SFR/Interne/jenkins/applicatifs/PARPRE/VTOM_APP367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Applications"/>
      <sheetName val="Jobs"/>
      <sheetName val="Ressources disponibles"/>
      <sheetName val="Ressources utilisées"/>
      <sheetName val="Contexte"/>
      <sheetName val="Dates disponibles"/>
      <sheetName val="Hosts disponibles"/>
      <sheetName val="Alarmes disponibles"/>
      <sheetName val="HIDDEN"/>
      <sheetName val="Corresp_bdd_to_file_job"/>
      <sheetName val="Appli_corresp_bdd_to_file"/>
      <sheetName val="A_bdd_to_file_Ress_dispo"/>
      <sheetName val="A_bdd_to_file_Ress_used"/>
      <sheetName val="A_bdd_to_file_contex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83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24" customWidth="1"/>
    <col min="6" max="6" width="110.7109375" style="24" customWidth="1"/>
    <col min="7" max="7" width="15.7109375" style="25" bestFit="1" customWidth="1"/>
    <col min="8" max="9" width="11.42578125" style="13"/>
    <col min="10" max="12" width="11.42578125" style="8"/>
    <col min="13" max="14" width="19.7109375" style="8" customWidth="1"/>
    <col min="15" max="15" width="24.140625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7" t="s">
        <v>130</v>
      </c>
      <c r="O1" s="2" t="s">
        <v>92</v>
      </c>
      <c r="P1" s="4" t="s">
        <v>131</v>
      </c>
      <c r="Q1" s="2" t="s">
        <v>116</v>
      </c>
      <c r="R1" s="9">
        <v>1</v>
      </c>
    </row>
    <row r="2" spans="1:18" x14ac:dyDescent="0.25">
      <c r="A2" s="8">
        <v>1</v>
      </c>
      <c r="B2" s="27" t="s">
        <v>107</v>
      </c>
      <c r="C2" s="27" t="s">
        <v>110</v>
      </c>
      <c r="D2" t="s">
        <v>132</v>
      </c>
      <c r="E2" t="s">
        <v>112</v>
      </c>
      <c r="F2" s="34" t="s">
        <v>113</v>
      </c>
      <c r="G2" s="33"/>
      <c r="H2" s="32"/>
      <c r="I2" s="17" t="s">
        <v>91</v>
      </c>
      <c r="M2" s="14" t="s">
        <v>7</v>
      </c>
      <c r="N2" s="15">
        <f>SUMPRODUCT((B:B="A")*(C:C="C"))+SUMPRODUCT((B:B="A")*(C:C="V"))</f>
        <v>18</v>
      </c>
      <c r="O2" s="2" t="s">
        <v>118</v>
      </c>
      <c r="P2" s="28">
        <v>44183</v>
      </c>
      <c r="Q2" s="2" t="s">
        <v>117</v>
      </c>
      <c r="R2" s="9">
        <v>1</v>
      </c>
    </row>
    <row r="3" spans="1:18" x14ac:dyDescent="0.25">
      <c r="A3" s="8">
        <f>A2+1</f>
        <v>2</v>
      </c>
      <c r="B3" s="27" t="s">
        <v>107</v>
      </c>
      <c r="C3" s="27" t="s">
        <v>110</v>
      </c>
      <c r="D3" t="s">
        <v>132</v>
      </c>
      <c r="E3" t="s">
        <v>112</v>
      </c>
      <c r="F3" s="35" t="s">
        <v>115</v>
      </c>
      <c r="G3" s="33">
        <v>1</v>
      </c>
      <c r="H3" s="32"/>
      <c r="I3" s="17" t="s">
        <v>93</v>
      </c>
      <c r="M3" s="16" t="s">
        <v>8</v>
      </c>
      <c r="N3" s="15">
        <f>SUMPRODUCT((B:B="R")*(C:C="C"))+SUMPRODUCT((B:B="R")*(C:C="V"))</f>
        <v>18</v>
      </c>
    </row>
    <row r="4" spans="1:18" x14ac:dyDescent="0.25">
      <c r="A4" s="8">
        <f>A3+1</f>
        <v>3</v>
      </c>
      <c r="B4" s="27" t="s">
        <v>107</v>
      </c>
      <c r="C4" s="27" t="s">
        <v>108</v>
      </c>
      <c r="D4" s="37" t="s">
        <v>140</v>
      </c>
      <c r="E4" t="s">
        <v>134</v>
      </c>
      <c r="F4" s="34" t="s">
        <v>141</v>
      </c>
      <c r="G4" s="33"/>
      <c r="H4" s="32"/>
      <c r="I4" s="13" t="s">
        <v>94</v>
      </c>
      <c r="M4" s="14" t="s">
        <v>9</v>
      </c>
      <c r="N4" s="14" t="s">
        <v>10</v>
      </c>
      <c r="O4" s="14" t="s">
        <v>120</v>
      </c>
      <c r="P4" s="14" t="s">
        <v>119</v>
      </c>
    </row>
    <row r="5" spans="1:18" x14ac:dyDescent="0.25">
      <c r="A5" s="8">
        <f>A4+1</f>
        <v>4</v>
      </c>
      <c r="B5" s="27" t="s">
        <v>107</v>
      </c>
      <c r="C5" s="27" t="s">
        <v>109</v>
      </c>
      <c r="D5" t="s">
        <v>140</v>
      </c>
      <c r="E5" t="s">
        <v>134</v>
      </c>
      <c r="F5" s="35" t="s">
        <v>142</v>
      </c>
      <c r="G5" s="33">
        <v>1</v>
      </c>
      <c r="H5" s="32"/>
      <c r="I5" s="13" t="s">
        <v>102</v>
      </c>
      <c r="M5" s="38" t="s">
        <v>146</v>
      </c>
      <c r="N5" t="s">
        <v>150</v>
      </c>
      <c r="O5" t="s">
        <v>151</v>
      </c>
      <c r="P5"/>
    </row>
    <row r="6" spans="1:18" x14ac:dyDescent="0.25">
      <c r="A6" s="8">
        <f>A5+1</f>
        <v>5</v>
      </c>
      <c r="B6" s="27" t="s">
        <v>107</v>
      </c>
      <c r="C6" s="27" t="s">
        <v>108</v>
      </c>
      <c r="D6" s="36" t="s">
        <v>143</v>
      </c>
      <c r="E6" t="s">
        <v>134</v>
      </c>
      <c r="F6" s="34" t="s">
        <v>141</v>
      </c>
      <c r="G6" s="33"/>
      <c r="M6" s="38" t="s">
        <v>133</v>
      </c>
      <c r="N6" t="s">
        <v>152</v>
      </c>
      <c r="O6" t="s">
        <v>153</v>
      </c>
      <c r="P6"/>
    </row>
    <row r="7" spans="1:18" x14ac:dyDescent="0.25">
      <c r="A7" s="8">
        <f>A6+1</f>
        <v>6</v>
      </c>
      <c r="B7" s="27" t="s">
        <v>107</v>
      </c>
      <c r="C7" s="27" t="s">
        <v>109</v>
      </c>
      <c r="D7" t="s">
        <v>143</v>
      </c>
      <c r="E7" t="s">
        <v>134</v>
      </c>
      <c r="F7" s="35" t="s">
        <v>142</v>
      </c>
      <c r="G7" s="33">
        <v>1</v>
      </c>
      <c r="M7" s="38" t="s">
        <v>139</v>
      </c>
      <c r="N7" t="s">
        <v>154</v>
      </c>
      <c r="O7" t="s">
        <v>153</v>
      </c>
      <c r="P7"/>
    </row>
    <row r="8" spans="1:18" x14ac:dyDescent="0.25">
      <c r="A8" s="8">
        <f>A7+1</f>
        <v>7</v>
      </c>
      <c r="B8" s="27" t="s">
        <v>107</v>
      </c>
      <c r="C8" s="27" t="s">
        <v>109</v>
      </c>
      <c r="D8" t="s">
        <v>140</v>
      </c>
      <c r="E8" t="s">
        <v>134</v>
      </c>
      <c r="F8" s="35" t="s">
        <v>144</v>
      </c>
      <c r="G8" s="33" t="s">
        <v>145</v>
      </c>
      <c r="M8" s="38" t="s">
        <v>132</v>
      </c>
      <c r="N8" t="s">
        <v>155</v>
      </c>
      <c r="O8" t="s">
        <v>156</v>
      </c>
      <c r="P8"/>
    </row>
    <row r="9" spans="1:18" x14ac:dyDescent="0.25">
      <c r="A9" s="8">
        <f>A8+1</f>
        <v>8</v>
      </c>
      <c r="B9" s="27" t="s">
        <v>107</v>
      </c>
      <c r="C9" s="27" t="s">
        <v>109</v>
      </c>
      <c r="D9" t="s">
        <v>143</v>
      </c>
      <c r="E9" t="s">
        <v>134</v>
      </c>
      <c r="F9" s="35" t="s">
        <v>144</v>
      </c>
      <c r="G9" s="33" t="s">
        <v>145</v>
      </c>
      <c r="M9" s="38" t="s">
        <v>140</v>
      </c>
      <c r="N9" t="s">
        <v>157</v>
      </c>
      <c r="O9"/>
      <c r="P9"/>
    </row>
    <row r="10" spans="1:18" x14ac:dyDescent="0.25">
      <c r="A10" s="8">
        <f>A9+1</f>
        <v>9</v>
      </c>
      <c r="B10" s="27" t="s">
        <v>107</v>
      </c>
      <c r="C10" s="27" t="s">
        <v>108</v>
      </c>
      <c r="D10" s="39" t="s">
        <v>133</v>
      </c>
      <c r="E10" t="s">
        <v>134</v>
      </c>
      <c r="F10" s="34" t="s">
        <v>136</v>
      </c>
      <c r="G10" s="33"/>
      <c r="M10" s="38" t="s">
        <v>143</v>
      </c>
      <c r="N10" t="s">
        <v>158</v>
      </c>
      <c r="O10"/>
      <c r="P10"/>
    </row>
    <row r="11" spans="1:18" x14ac:dyDescent="0.25">
      <c r="A11" s="8">
        <f>A10+1</f>
        <v>10</v>
      </c>
      <c r="B11" s="27" t="s">
        <v>107</v>
      </c>
      <c r="C11" s="27" t="s">
        <v>108</v>
      </c>
      <c r="D11" s="39" t="s">
        <v>133</v>
      </c>
      <c r="E11" t="s">
        <v>134</v>
      </c>
      <c r="F11" s="34" t="s">
        <v>135</v>
      </c>
      <c r="G11" s="33"/>
      <c r="M11" s="38" t="s">
        <v>106</v>
      </c>
      <c r="N11" t="s">
        <v>159</v>
      </c>
      <c r="O11" t="s">
        <v>160</v>
      </c>
      <c r="P11"/>
    </row>
    <row r="12" spans="1:18" x14ac:dyDescent="0.25">
      <c r="A12" s="8">
        <f>A11+1</f>
        <v>11</v>
      </c>
      <c r="B12" s="27" t="s">
        <v>107</v>
      </c>
      <c r="C12" s="27" t="s">
        <v>109</v>
      </c>
      <c r="D12" s="39" t="s">
        <v>133</v>
      </c>
      <c r="E12" t="s">
        <v>134</v>
      </c>
      <c r="F12" s="35" t="s">
        <v>137</v>
      </c>
      <c r="G12" s="33">
        <v>0</v>
      </c>
      <c r="M12" s="18"/>
      <c r="N12" s="18"/>
      <c r="O12" s="18"/>
      <c r="P12" s="18"/>
    </row>
    <row r="13" spans="1:18" x14ac:dyDescent="0.25">
      <c r="A13" s="8">
        <f>A12+1</f>
        <v>12</v>
      </c>
      <c r="B13" s="27" t="s">
        <v>107</v>
      </c>
      <c r="C13" s="27" t="s">
        <v>109</v>
      </c>
      <c r="D13" s="39" t="s">
        <v>133</v>
      </c>
      <c r="E13" t="s">
        <v>134</v>
      </c>
      <c r="F13" s="35" t="s">
        <v>138</v>
      </c>
      <c r="G13" s="33">
        <v>0</v>
      </c>
      <c r="M13" s="18"/>
      <c r="N13" s="18"/>
      <c r="O13" s="18"/>
      <c r="P13" s="18"/>
    </row>
    <row r="14" spans="1:18" x14ac:dyDescent="0.25">
      <c r="A14" s="8">
        <f>A13+1</f>
        <v>13</v>
      </c>
      <c r="B14" s="27" t="s">
        <v>107</v>
      </c>
      <c r="C14" s="27" t="s">
        <v>108</v>
      </c>
      <c r="D14" s="37" t="s">
        <v>139</v>
      </c>
      <c r="E14" t="s">
        <v>134</v>
      </c>
      <c r="F14" s="34" t="s">
        <v>135</v>
      </c>
      <c r="G14" s="33"/>
      <c r="M14" s="18"/>
      <c r="N14" s="18"/>
      <c r="O14"/>
      <c r="P14" s="18"/>
    </row>
    <row r="15" spans="1:18" x14ac:dyDescent="0.25">
      <c r="A15" s="8">
        <f>A14+1</f>
        <v>14</v>
      </c>
      <c r="B15" s="27" t="s">
        <v>107</v>
      </c>
      <c r="C15" s="27" t="s">
        <v>108</v>
      </c>
      <c r="D15" s="37" t="s">
        <v>139</v>
      </c>
      <c r="E15" t="s">
        <v>134</v>
      </c>
      <c r="F15" s="34" t="s">
        <v>136</v>
      </c>
      <c r="G15" s="33"/>
      <c r="M15" s="18"/>
      <c r="N15" s="18"/>
      <c r="O15"/>
      <c r="P15" s="18"/>
    </row>
    <row r="16" spans="1:18" x14ac:dyDescent="0.25">
      <c r="A16" s="8">
        <f>A15+1</f>
        <v>15</v>
      </c>
      <c r="B16" s="27" t="s">
        <v>107</v>
      </c>
      <c r="C16" s="27" t="s">
        <v>109</v>
      </c>
      <c r="D16" t="s">
        <v>139</v>
      </c>
      <c r="E16" t="s">
        <v>134</v>
      </c>
      <c r="F16" s="35" t="s">
        <v>137</v>
      </c>
      <c r="G16" s="33">
        <v>1</v>
      </c>
      <c r="M16" s="18"/>
      <c r="N16" s="18"/>
      <c r="O16"/>
      <c r="P16" s="18"/>
    </row>
    <row r="17" spans="1:16" x14ac:dyDescent="0.25">
      <c r="A17" s="8">
        <f>A16+1</f>
        <v>16</v>
      </c>
      <c r="B17" s="27" t="s">
        <v>107</v>
      </c>
      <c r="C17" s="27" t="s">
        <v>109</v>
      </c>
      <c r="D17" t="s">
        <v>139</v>
      </c>
      <c r="E17" t="s">
        <v>134</v>
      </c>
      <c r="F17" s="35" t="s">
        <v>138</v>
      </c>
      <c r="G17" s="33">
        <v>1</v>
      </c>
      <c r="M17" s="18"/>
      <c r="N17" s="18"/>
      <c r="O17"/>
      <c r="P17" s="22"/>
    </row>
    <row r="18" spans="1:16" x14ac:dyDescent="0.25">
      <c r="A18" s="8">
        <f>A17+1</f>
        <v>17</v>
      </c>
      <c r="B18" s="27" t="s">
        <v>107</v>
      </c>
      <c r="C18" s="27" t="s">
        <v>108</v>
      </c>
      <c r="D18" t="s">
        <v>146</v>
      </c>
      <c r="E18" t="s">
        <v>134</v>
      </c>
      <c r="F18" s="24" t="s">
        <v>136</v>
      </c>
      <c r="H18" s="32"/>
      <c r="M18" s="18"/>
      <c r="N18" s="18"/>
      <c r="O18" s="18"/>
      <c r="P18" s="22"/>
    </row>
    <row r="19" spans="1:16" x14ac:dyDescent="0.25">
      <c r="A19" s="8">
        <f>A18+1</f>
        <v>18</v>
      </c>
      <c r="B19" s="27" t="s">
        <v>107</v>
      </c>
      <c r="C19" s="27" t="s">
        <v>108</v>
      </c>
      <c r="D19" t="s">
        <v>146</v>
      </c>
      <c r="E19" t="s">
        <v>134</v>
      </c>
      <c r="F19" s="24" t="s">
        <v>135</v>
      </c>
      <c r="H19" s="32"/>
      <c r="M19" s="22"/>
      <c r="N19" s="18"/>
      <c r="O19" s="18"/>
      <c r="P19" s="22"/>
    </row>
    <row r="20" spans="1:16" x14ac:dyDescent="0.25">
      <c r="A20" s="8">
        <f>A19+1</f>
        <v>19</v>
      </c>
      <c r="B20" s="27" t="s">
        <v>107</v>
      </c>
      <c r="C20" s="27" t="s">
        <v>109</v>
      </c>
      <c r="D20" t="s">
        <v>146</v>
      </c>
      <c r="E20" t="s">
        <v>134</v>
      </c>
      <c r="F20" s="24" t="s">
        <v>162</v>
      </c>
      <c r="G20" s="25">
        <v>1</v>
      </c>
      <c r="H20" s="32"/>
      <c r="M20" s="18"/>
      <c r="N20" s="18"/>
      <c r="O20" s="18"/>
      <c r="P20" s="22"/>
    </row>
    <row r="21" spans="1:16" x14ac:dyDescent="0.25">
      <c r="A21" s="8">
        <f>A20+1</f>
        <v>20</v>
      </c>
      <c r="B21" s="27" t="s">
        <v>107</v>
      </c>
      <c r="C21" s="27" t="s">
        <v>109</v>
      </c>
      <c r="D21" t="s">
        <v>146</v>
      </c>
      <c r="E21" t="s">
        <v>134</v>
      </c>
      <c r="F21" s="24" t="s">
        <v>163</v>
      </c>
      <c r="G21" s="25">
        <v>1</v>
      </c>
      <c r="H21" s="32"/>
      <c r="O21" s="22"/>
      <c r="P21" s="22"/>
    </row>
    <row r="22" spans="1:16" x14ac:dyDescent="0.25">
      <c r="A22" s="8">
        <v>1</v>
      </c>
      <c r="B22" s="27" t="s">
        <v>111</v>
      </c>
      <c r="C22" s="27" t="s">
        <v>108</v>
      </c>
      <c r="D22" s="37" t="s">
        <v>140</v>
      </c>
      <c r="E22" t="s">
        <v>134</v>
      </c>
      <c r="F22" s="34" t="s">
        <v>149</v>
      </c>
      <c r="G22" s="33"/>
      <c r="H22" s="32"/>
      <c r="O22" s="22"/>
      <c r="P22" s="22"/>
    </row>
    <row r="23" spans="1:16" x14ac:dyDescent="0.25">
      <c r="A23" s="8">
        <f>A22+1</f>
        <v>2</v>
      </c>
      <c r="B23" s="27" t="s">
        <v>111</v>
      </c>
      <c r="C23" s="27" t="s">
        <v>109</v>
      </c>
      <c r="D23" t="s">
        <v>140</v>
      </c>
      <c r="E23" t="s">
        <v>134</v>
      </c>
      <c r="F23" s="35" t="s">
        <v>142</v>
      </c>
      <c r="G23" s="33">
        <v>0</v>
      </c>
      <c r="H23" s="32"/>
      <c r="N23" s="22"/>
      <c r="O23" s="22"/>
      <c r="P23" s="22"/>
    </row>
    <row r="24" spans="1:16" x14ac:dyDescent="0.25">
      <c r="A24" s="8">
        <f>A23+1</f>
        <v>3</v>
      </c>
      <c r="B24" s="27" t="s">
        <v>111</v>
      </c>
      <c r="C24" s="27" t="s">
        <v>108</v>
      </c>
      <c r="D24" s="36" t="s">
        <v>143</v>
      </c>
      <c r="E24" t="s">
        <v>134</v>
      </c>
      <c r="F24" s="34" t="s">
        <v>149</v>
      </c>
      <c r="G24" s="33"/>
      <c r="H24" s="32"/>
      <c r="N24" s="22"/>
      <c r="O24" s="22"/>
      <c r="P24" s="22"/>
    </row>
    <row r="25" spans="1:16" x14ac:dyDescent="0.25">
      <c r="A25" s="8">
        <f>A24+1</f>
        <v>4</v>
      </c>
      <c r="B25" s="27" t="s">
        <v>111</v>
      </c>
      <c r="C25" s="27" t="s">
        <v>109</v>
      </c>
      <c r="D25" s="36" t="s">
        <v>143</v>
      </c>
      <c r="E25" t="s">
        <v>134</v>
      </c>
      <c r="F25" s="35" t="s">
        <v>142</v>
      </c>
      <c r="G25" s="33">
        <v>0</v>
      </c>
      <c r="H25" s="32"/>
    </row>
    <row r="26" spans="1:16" x14ac:dyDescent="0.25">
      <c r="A26" s="8">
        <f>A25+1</f>
        <v>5</v>
      </c>
      <c r="B26" s="27" t="s">
        <v>111</v>
      </c>
      <c r="C26" s="27" t="s">
        <v>109</v>
      </c>
      <c r="D26" t="s">
        <v>140</v>
      </c>
      <c r="E26" t="s">
        <v>134</v>
      </c>
      <c r="F26" s="35" t="s">
        <v>144</v>
      </c>
      <c r="G26" s="40" t="s">
        <v>161</v>
      </c>
      <c r="H26" s="32"/>
    </row>
    <row r="27" spans="1:16" x14ac:dyDescent="0.25">
      <c r="A27" s="8">
        <f>A26+1</f>
        <v>6</v>
      </c>
      <c r="B27" s="27" t="s">
        <v>111</v>
      </c>
      <c r="C27" s="27" t="s">
        <v>109</v>
      </c>
      <c r="D27" t="s">
        <v>143</v>
      </c>
      <c r="E27" t="s">
        <v>134</v>
      </c>
      <c r="F27" s="35" t="s">
        <v>144</v>
      </c>
      <c r="G27" s="40" t="s">
        <v>161</v>
      </c>
      <c r="H27" s="32"/>
    </row>
    <row r="28" spans="1:16" x14ac:dyDescent="0.25">
      <c r="A28" s="8">
        <f>A27+1</f>
        <v>7</v>
      </c>
      <c r="B28" s="27" t="s">
        <v>111</v>
      </c>
      <c r="C28" s="27" t="s">
        <v>108</v>
      </c>
      <c r="D28" s="39" t="s">
        <v>133</v>
      </c>
      <c r="E28" t="s">
        <v>134</v>
      </c>
      <c r="F28" s="34" t="s">
        <v>147</v>
      </c>
      <c r="G28" s="33"/>
      <c r="H28" s="32"/>
    </row>
    <row r="29" spans="1:16" x14ac:dyDescent="0.25">
      <c r="A29" s="8">
        <f>A28+1</f>
        <v>8</v>
      </c>
      <c r="B29" s="27" t="s">
        <v>111</v>
      </c>
      <c r="C29" s="27" t="s">
        <v>108</v>
      </c>
      <c r="D29" s="39" t="s">
        <v>133</v>
      </c>
      <c r="E29" t="s">
        <v>134</v>
      </c>
      <c r="F29" s="34" t="s">
        <v>148</v>
      </c>
      <c r="G29" s="33"/>
      <c r="H29" s="32"/>
    </row>
    <row r="30" spans="1:16" x14ac:dyDescent="0.25">
      <c r="A30" s="8">
        <f>A29+1</f>
        <v>9</v>
      </c>
      <c r="B30" s="27" t="s">
        <v>111</v>
      </c>
      <c r="C30" s="27" t="s">
        <v>109</v>
      </c>
      <c r="D30" s="39" t="s">
        <v>133</v>
      </c>
      <c r="E30" t="s">
        <v>134</v>
      </c>
      <c r="F30" s="35" t="s">
        <v>137</v>
      </c>
      <c r="G30" s="33">
        <v>0</v>
      </c>
      <c r="H30" s="32"/>
    </row>
    <row r="31" spans="1:16" x14ac:dyDescent="0.25">
      <c r="A31" s="8">
        <f>A30+1</f>
        <v>10</v>
      </c>
      <c r="B31" s="27" t="s">
        <v>111</v>
      </c>
      <c r="C31" s="27" t="s">
        <v>109</v>
      </c>
      <c r="D31" s="39" t="s">
        <v>133</v>
      </c>
      <c r="E31" t="s">
        <v>134</v>
      </c>
      <c r="F31" s="35" t="s">
        <v>138</v>
      </c>
      <c r="G31" s="33">
        <v>0</v>
      </c>
      <c r="H31" s="32"/>
    </row>
    <row r="32" spans="1:16" x14ac:dyDescent="0.25">
      <c r="A32" s="8">
        <f>A31+1</f>
        <v>11</v>
      </c>
      <c r="B32" s="27" t="s">
        <v>111</v>
      </c>
      <c r="C32" s="27" t="s">
        <v>108</v>
      </c>
      <c r="D32" s="36" t="s">
        <v>139</v>
      </c>
      <c r="E32" t="s">
        <v>134</v>
      </c>
      <c r="F32" s="34" t="s">
        <v>147</v>
      </c>
      <c r="G32" s="33"/>
      <c r="H32" s="32"/>
    </row>
    <row r="33" spans="1:8" x14ac:dyDescent="0.25">
      <c r="A33" s="8">
        <f>A32+1</f>
        <v>12</v>
      </c>
      <c r="B33" s="27" t="s">
        <v>111</v>
      </c>
      <c r="C33" s="27" t="s">
        <v>108</v>
      </c>
      <c r="D33" s="36" t="s">
        <v>139</v>
      </c>
      <c r="E33" t="s">
        <v>134</v>
      </c>
      <c r="F33" s="34" t="s">
        <v>148</v>
      </c>
      <c r="G33" s="33"/>
      <c r="H33" s="32"/>
    </row>
    <row r="34" spans="1:8" x14ac:dyDescent="0.25">
      <c r="A34" s="8">
        <f>A33+1</f>
        <v>13</v>
      </c>
      <c r="B34" s="27" t="s">
        <v>111</v>
      </c>
      <c r="C34" s="27" t="s">
        <v>109</v>
      </c>
      <c r="D34" t="s">
        <v>139</v>
      </c>
      <c r="E34" t="s">
        <v>134</v>
      </c>
      <c r="F34" s="35" t="s">
        <v>137</v>
      </c>
      <c r="G34" s="33">
        <v>0</v>
      </c>
    </row>
    <row r="35" spans="1:8" x14ac:dyDescent="0.25">
      <c r="A35" s="8">
        <f>A34+1</f>
        <v>14</v>
      </c>
      <c r="B35" s="27" t="s">
        <v>111</v>
      </c>
      <c r="C35" s="27" t="s">
        <v>109</v>
      </c>
      <c r="D35" t="s">
        <v>139</v>
      </c>
      <c r="E35" t="s">
        <v>134</v>
      </c>
      <c r="F35" s="35" t="s">
        <v>138</v>
      </c>
      <c r="G35" s="33">
        <v>0</v>
      </c>
    </row>
    <row r="36" spans="1:8" x14ac:dyDescent="0.25">
      <c r="A36" s="8">
        <f>A35+1</f>
        <v>15</v>
      </c>
      <c r="B36" s="27" t="s">
        <v>111</v>
      </c>
      <c r="C36" s="27" t="s">
        <v>108</v>
      </c>
      <c r="D36" t="s">
        <v>146</v>
      </c>
      <c r="E36" t="s">
        <v>134</v>
      </c>
      <c r="F36" s="24" t="s">
        <v>147</v>
      </c>
    </row>
    <row r="37" spans="1:8" x14ac:dyDescent="0.25">
      <c r="A37" s="8">
        <f>A36+1</f>
        <v>16</v>
      </c>
      <c r="B37" s="27" t="s">
        <v>111</v>
      </c>
      <c r="C37" s="27" t="s">
        <v>108</v>
      </c>
      <c r="D37" t="s">
        <v>146</v>
      </c>
      <c r="E37" t="s">
        <v>134</v>
      </c>
      <c r="F37" s="24" t="s">
        <v>148</v>
      </c>
    </row>
    <row r="38" spans="1:8" x14ac:dyDescent="0.25">
      <c r="A38" s="8">
        <f>A37+1</f>
        <v>17</v>
      </c>
      <c r="B38" s="27" t="s">
        <v>111</v>
      </c>
      <c r="C38" s="27" t="s">
        <v>109</v>
      </c>
      <c r="D38" t="s">
        <v>146</v>
      </c>
      <c r="E38" t="s">
        <v>134</v>
      </c>
      <c r="F38" s="24" t="s">
        <v>162</v>
      </c>
      <c r="G38" s="25">
        <v>0</v>
      </c>
    </row>
    <row r="39" spans="1:8" x14ac:dyDescent="0.25">
      <c r="A39" s="8">
        <f>A38+1</f>
        <v>18</v>
      </c>
      <c r="B39" s="27" t="s">
        <v>111</v>
      </c>
      <c r="C39" s="27" t="s">
        <v>109</v>
      </c>
      <c r="D39" t="s">
        <v>146</v>
      </c>
      <c r="E39" t="s">
        <v>134</v>
      </c>
      <c r="F39" s="24" t="s">
        <v>163</v>
      </c>
      <c r="G39" s="25">
        <v>0</v>
      </c>
    </row>
    <row r="40" spans="1:8" x14ac:dyDescent="0.25">
      <c r="A40" s="8">
        <f>A39+1</f>
        <v>19</v>
      </c>
      <c r="B40" s="27" t="s">
        <v>111</v>
      </c>
      <c r="C40" s="27" t="s">
        <v>110</v>
      </c>
      <c r="D40" t="s">
        <v>132</v>
      </c>
      <c r="E40" t="s">
        <v>112</v>
      </c>
      <c r="F40" s="34" t="s">
        <v>114</v>
      </c>
      <c r="G40" s="33"/>
    </row>
    <row r="41" spans="1:8" x14ac:dyDescent="0.25">
      <c r="A41" s="8">
        <f>A40+1</f>
        <v>20</v>
      </c>
      <c r="B41" s="27" t="s">
        <v>111</v>
      </c>
      <c r="C41" s="27" t="s">
        <v>110</v>
      </c>
      <c r="D41" t="s">
        <v>132</v>
      </c>
      <c r="E41" t="s">
        <v>112</v>
      </c>
      <c r="F41" s="35" t="s">
        <v>115</v>
      </c>
      <c r="G41" s="33">
        <v>0</v>
      </c>
    </row>
    <row r="42" spans="1:8" x14ac:dyDescent="0.25">
      <c r="A42" s="10"/>
      <c r="B42" s="10"/>
      <c r="C42" s="10"/>
      <c r="D42" s="11"/>
      <c r="E42" s="11"/>
      <c r="F42" s="11"/>
      <c r="G42" s="12"/>
      <c r="H42" s="17"/>
    </row>
    <row r="43" spans="1:8" x14ac:dyDescent="0.25">
      <c r="A43" s="10"/>
      <c r="B43" s="10"/>
      <c r="C43" s="10"/>
      <c r="D43" s="11"/>
      <c r="E43" s="11"/>
      <c r="F43" s="11"/>
      <c r="G43" s="12"/>
      <c r="H43" s="17"/>
    </row>
    <row r="44" spans="1:8" x14ac:dyDescent="0.25">
      <c r="A44" s="10"/>
      <c r="B44" s="10"/>
      <c r="C44" s="10"/>
      <c r="D44" s="11"/>
      <c r="E44" s="11"/>
      <c r="F44" s="11"/>
      <c r="G44" s="12"/>
    </row>
    <row r="45" spans="1:8" x14ac:dyDescent="0.25">
      <c r="A45" s="10"/>
      <c r="B45" s="10"/>
      <c r="C45" s="10"/>
      <c r="D45" s="11"/>
      <c r="E45" s="11"/>
      <c r="F45" s="11"/>
      <c r="G45" s="12"/>
    </row>
    <row r="46" spans="1:8" x14ac:dyDescent="0.25">
      <c r="A46" s="10"/>
      <c r="B46" s="10"/>
      <c r="C46" s="10"/>
      <c r="D46" s="11"/>
      <c r="E46" s="11"/>
      <c r="F46" s="11"/>
      <c r="G46" s="12"/>
    </row>
    <row r="47" spans="1:8" x14ac:dyDescent="0.25">
      <c r="A47" s="10"/>
      <c r="B47" s="10"/>
      <c r="C47" s="10"/>
      <c r="D47" s="11"/>
      <c r="E47" s="11"/>
      <c r="F47" s="11"/>
      <c r="G47" s="12"/>
    </row>
    <row r="48" spans="1:8" x14ac:dyDescent="0.25">
      <c r="A48" s="10"/>
      <c r="B48" s="10"/>
      <c r="C48" s="10"/>
      <c r="D48" s="11"/>
      <c r="E48" s="11"/>
      <c r="F48" s="11"/>
      <c r="G48" s="12"/>
    </row>
    <row r="49" spans="1:8" x14ac:dyDescent="0.25">
      <c r="A49" s="10"/>
      <c r="B49" s="10"/>
      <c r="C49" s="10"/>
      <c r="D49" s="20"/>
      <c r="E49" s="20"/>
      <c r="F49" s="13"/>
      <c r="G49" s="12"/>
      <c r="H49" s="17"/>
    </row>
    <row r="50" spans="1:8" x14ac:dyDescent="0.25">
      <c r="A50" s="10"/>
      <c r="B50" s="10"/>
      <c r="C50" s="10"/>
      <c r="D50" s="11"/>
      <c r="E50" s="11"/>
      <c r="F50" s="13"/>
      <c r="G50" s="12"/>
    </row>
    <row r="51" spans="1:8" x14ac:dyDescent="0.25">
      <c r="A51" s="10"/>
      <c r="B51" s="10"/>
      <c r="C51" s="10"/>
      <c r="D51" s="20"/>
      <c r="E51" s="20"/>
      <c r="F51" s="13"/>
      <c r="G51" s="12"/>
    </row>
    <row r="52" spans="1:8" x14ac:dyDescent="0.25">
      <c r="A52" s="10"/>
      <c r="B52" s="10"/>
      <c r="C52" s="10"/>
      <c r="D52" s="20"/>
      <c r="E52" s="20"/>
      <c r="F52" s="13"/>
      <c r="G52" s="12"/>
    </row>
    <row r="53" spans="1:8" x14ac:dyDescent="0.25">
      <c r="A53" s="10"/>
      <c r="B53" s="10"/>
      <c r="C53" s="10"/>
      <c r="D53" s="20"/>
      <c r="E53" s="20"/>
      <c r="F53" s="13"/>
      <c r="G53" s="12"/>
    </row>
    <row r="54" spans="1:8" x14ac:dyDescent="0.25">
      <c r="A54" s="10"/>
      <c r="B54" s="10"/>
      <c r="C54" s="10"/>
      <c r="D54" s="11"/>
      <c r="E54" s="11"/>
      <c r="F54" s="13"/>
      <c r="G54" s="12"/>
      <c r="H54" s="17"/>
    </row>
    <row r="55" spans="1:8" x14ac:dyDescent="0.25">
      <c r="A55" s="10"/>
      <c r="B55" s="10"/>
      <c r="C55" s="10"/>
      <c r="D55" s="20"/>
      <c r="E55" s="20"/>
      <c r="F55" s="13"/>
      <c r="G55" s="12"/>
    </row>
    <row r="56" spans="1:8" x14ac:dyDescent="0.25">
      <c r="A56" s="10"/>
      <c r="B56" s="10"/>
      <c r="C56" s="10"/>
      <c r="D56" s="20"/>
      <c r="E56" s="20"/>
      <c r="F56" s="21"/>
      <c r="G56" s="12"/>
    </row>
    <row r="57" spans="1:8" x14ac:dyDescent="0.25">
      <c r="A57" s="10"/>
      <c r="B57" s="10"/>
      <c r="C57" s="10"/>
      <c r="D57" s="20"/>
      <c r="E57" s="20"/>
      <c r="F57" s="21"/>
      <c r="G57" s="12"/>
    </row>
    <row r="58" spans="1:8" x14ac:dyDescent="0.25">
      <c r="A58" s="10"/>
      <c r="B58" s="10"/>
      <c r="C58" s="10"/>
      <c r="D58" s="15"/>
      <c r="E58" s="11"/>
      <c r="F58" s="20"/>
      <c r="G58" s="23"/>
      <c r="H58" s="17"/>
    </row>
    <row r="59" spans="1:8" x14ac:dyDescent="0.25">
      <c r="A59" s="10"/>
      <c r="B59" s="10"/>
      <c r="C59" s="10"/>
      <c r="D59" s="15"/>
      <c r="E59" s="11"/>
      <c r="F59" s="18"/>
      <c r="G59" s="12"/>
    </row>
    <row r="60" spans="1:8" x14ac:dyDescent="0.25">
      <c r="A60" s="10"/>
      <c r="B60" s="10"/>
      <c r="C60" s="10"/>
      <c r="D60" s="15"/>
      <c r="E60" s="11"/>
      <c r="F60" s="8"/>
      <c r="G60" s="12"/>
      <c r="H60" s="17"/>
    </row>
    <row r="61" spans="1:8" x14ac:dyDescent="0.25">
      <c r="A61" s="10"/>
      <c r="B61" s="29"/>
      <c r="C61" s="29"/>
      <c r="D61" s="30"/>
      <c r="E61" s="30"/>
      <c r="F61"/>
      <c r="G61" s="31"/>
      <c r="H61" s="32"/>
    </row>
    <row r="62" spans="1:8" x14ac:dyDescent="0.25">
      <c r="A62" s="10"/>
      <c r="B62" s="29"/>
      <c r="C62" s="29"/>
      <c r="D62" s="30"/>
      <c r="E62" s="30"/>
      <c r="F62"/>
      <c r="G62" s="31"/>
      <c r="H62" s="32"/>
    </row>
    <row r="63" spans="1:8" x14ac:dyDescent="0.25">
      <c r="A63" s="10"/>
      <c r="B63" s="10"/>
      <c r="C63" s="10"/>
      <c r="D63" s="11"/>
      <c r="E63" s="11"/>
      <c r="F63" s="18"/>
      <c r="G63" s="23"/>
      <c r="H63" s="17"/>
    </row>
    <row r="64" spans="1:8" x14ac:dyDescent="0.25">
      <c r="A64" s="10"/>
      <c r="B64" s="10"/>
      <c r="C64" s="10"/>
      <c r="D64" s="11"/>
      <c r="E64" s="11"/>
      <c r="F64" s="18"/>
      <c r="G64" s="12"/>
    </row>
    <row r="65" spans="1:8" x14ac:dyDescent="0.25">
      <c r="A65" s="10"/>
      <c r="B65" s="10"/>
      <c r="C65" s="10"/>
      <c r="D65" s="11"/>
      <c r="E65" s="11"/>
      <c r="F65" s="11"/>
      <c r="G65" s="12"/>
    </row>
    <row r="66" spans="1:8" x14ac:dyDescent="0.25">
      <c r="A66" s="10"/>
      <c r="B66" s="10"/>
      <c r="C66" s="10"/>
      <c r="D66" s="11"/>
      <c r="E66" s="11"/>
      <c r="F66" s="18"/>
      <c r="G66" s="23"/>
      <c r="H66" s="17"/>
    </row>
    <row r="67" spans="1:8" x14ac:dyDescent="0.25">
      <c r="A67" s="10"/>
      <c r="B67" s="10"/>
      <c r="C67" s="10"/>
      <c r="D67" s="11"/>
      <c r="E67" s="11"/>
      <c r="F67" s="11"/>
      <c r="G67" s="12"/>
    </row>
    <row r="68" spans="1:8" x14ac:dyDescent="0.25">
      <c r="A68" s="10"/>
      <c r="B68" s="10"/>
      <c r="C68" s="10"/>
      <c r="D68" s="22"/>
      <c r="E68" s="11"/>
      <c r="F68" s="21"/>
      <c r="G68" s="12"/>
    </row>
    <row r="69" spans="1:8" x14ac:dyDescent="0.25">
      <c r="A69" s="10"/>
      <c r="B69" s="10"/>
      <c r="C69" s="10"/>
      <c r="D69" s="11"/>
      <c r="E69" s="11"/>
      <c r="F69" s="21"/>
      <c r="G69" s="12"/>
    </row>
    <row r="70" spans="1:8" x14ac:dyDescent="0.25">
      <c r="A70" s="19"/>
      <c r="B70" s="10"/>
      <c r="C70" s="10"/>
      <c r="D70" s="20"/>
      <c r="E70" s="11"/>
      <c r="F70" s="13"/>
      <c r="G70" s="12"/>
    </row>
    <row r="71" spans="1:8" x14ac:dyDescent="0.25">
      <c r="A71" s="19"/>
      <c r="B71" s="10"/>
      <c r="C71" s="10"/>
      <c r="D71" s="20"/>
      <c r="E71" s="11"/>
      <c r="F71" s="13"/>
      <c r="G71" s="12"/>
    </row>
    <row r="72" spans="1:8" x14ac:dyDescent="0.25">
      <c r="A72" s="19"/>
      <c r="B72" s="10"/>
      <c r="C72" s="10"/>
      <c r="D72" s="11"/>
      <c r="E72" s="11"/>
      <c r="F72" s="13"/>
      <c r="G72" s="12"/>
    </row>
    <row r="73" spans="1:8" x14ac:dyDescent="0.25">
      <c r="A73" s="19"/>
      <c r="B73" s="10"/>
      <c r="C73" s="10"/>
      <c r="D73" s="20"/>
      <c r="E73" s="11"/>
      <c r="F73" s="13"/>
      <c r="G73" s="12"/>
    </row>
    <row r="74" spans="1:8" x14ac:dyDescent="0.25">
      <c r="A74" s="19"/>
      <c r="B74" s="10"/>
      <c r="C74" s="10"/>
      <c r="D74" s="20"/>
      <c r="E74" s="11"/>
      <c r="F74" s="13"/>
      <c r="G74" s="12"/>
    </row>
    <row r="75" spans="1:8" x14ac:dyDescent="0.25">
      <c r="A75" s="19"/>
      <c r="B75" s="10"/>
      <c r="C75" s="10"/>
      <c r="D75" s="20"/>
      <c r="E75" s="11"/>
      <c r="F75" s="13"/>
      <c r="G75" s="12"/>
    </row>
    <row r="76" spans="1:8" x14ac:dyDescent="0.25">
      <c r="A76" s="19"/>
      <c r="B76" s="10"/>
      <c r="C76" s="10"/>
      <c r="D76" s="20"/>
      <c r="E76" s="11"/>
      <c r="F76" s="13"/>
      <c r="G76" s="12"/>
    </row>
    <row r="77" spans="1:8" x14ac:dyDescent="0.25">
      <c r="A77" s="19"/>
      <c r="B77" s="10"/>
      <c r="C77" s="10"/>
      <c r="D77" s="11"/>
      <c r="E77" s="11"/>
      <c r="F77" s="13"/>
      <c r="G77" s="12"/>
    </row>
    <row r="78" spans="1:8" x14ac:dyDescent="0.25">
      <c r="A78" s="19"/>
      <c r="B78" s="10"/>
      <c r="C78" s="10"/>
      <c r="D78" s="20"/>
      <c r="E78" s="11"/>
      <c r="F78" s="21"/>
      <c r="G78" s="12"/>
    </row>
    <row r="79" spans="1:8" x14ac:dyDescent="0.25">
      <c r="A79" s="19"/>
      <c r="B79" s="10"/>
      <c r="C79" s="10"/>
      <c r="D79" s="20"/>
      <c r="E79" s="11"/>
      <c r="F79" s="21"/>
      <c r="G79" s="12"/>
    </row>
    <row r="80" spans="1:8" x14ac:dyDescent="0.25">
      <c r="A80" s="10"/>
      <c r="B80" s="10"/>
      <c r="C80" s="10"/>
      <c r="D80" s="15"/>
      <c r="E80" s="11"/>
      <c r="F80" s="18"/>
      <c r="G80" s="12"/>
      <c r="H80" s="15"/>
    </row>
    <row r="81" spans="1:8" x14ac:dyDescent="0.25">
      <c r="A81" s="19"/>
      <c r="B81" s="10"/>
      <c r="C81" s="10"/>
      <c r="D81" s="20"/>
      <c r="E81" s="22"/>
      <c r="F81" s="21"/>
      <c r="G81" s="12"/>
    </row>
    <row r="82" spans="1:8" x14ac:dyDescent="0.25">
      <c r="A82" s="19"/>
      <c r="B82" s="10"/>
      <c r="C82" s="10"/>
      <c r="D82" s="20"/>
      <c r="E82" s="22"/>
      <c r="F82" s="21"/>
      <c r="G82" s="12"/>
    </row>
    <row r="83" spans="1:8" x14ac:dyDescent="0.25">
      <c r="A83" s="10"/>
      <c r="B83" s="10"/>
      <c r="C83" s="10"/>
      <c r="D83" s="20"/>
      <c r="E83" s="22"/>
      <c r="F83" s="18"/>
      <c r="G83" s="12"/>
      <c r="H83" s="15"/>
    </row>
  </sheetData>
  <sortState ref="A2:H41">
    <sortCondition descending="1" ref="B2:B41"/>
    <sortCondition ref="A2:A4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showInputMessage="1" showErrorMessage="1" errorTitle="Attention" error="Cette valeur n'est pas dans la liste.!!">
          <x14:formula1>
            <xm:f>[1]HIDDEN!#REF!</xm:f>
          </x14:formula1>
          <xm:sqref>O14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31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18/12/2020</v>
      </c>
    </row>
    <row r="5" spans="1:1" x14ac:dyDescent="0.25">
      <c r="A5" t="str">
        <f>"# | Version PARPRE : "&amp;TEXT(Accueil!R1,"JJ/MM/AAAA")</f>
        <v># | Version PARPRE : 01/01/1900</v>
      </c>
    </row>
    <row r="6" spans="1:1" x14ac:dyDescent="0.25">
      <c r="A6" t="str">
        <f>"# | Version EBO : "&amp;TEXT(Accueil!R2,"JJ/MM/AAAA")</f>
        <v># | Version EBO : 01/01/1900</v>
      </c>
    </row>
    <row r="7" spans="1:1" x14ac:dyDescent="0.25">
      <c r="A7" t="str">
        <f ca="1">CONCATENATE("# | Date creation  : ",TEXT(NOW(),"jj/mm/aaaa hh:mm:ss"))</f>
        <v># | Date creation  : 17/03/2021 21:40:04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129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7" spans="1:1" x14ac:dyDescent="0.25">
      <c r="A27" t="s">
        <v>25</v>
      </c>
    </row>
    <row r="28" spans="1:1" x14ac:dyDescent="0.25">
      <c r="A28" t="s">
        <v>26</v>
      </c>
    </row>
    <row r="30" spans="1:1" x14ac:dyDescent="0.25">
      <c r="A30" t="s">
        <v>27</v>
      </c>
    </row>
    <row r="31" spans="1:1" x14ac:dyDescent="0.25">
      <c r="A31" t="s">
        <v>28</v>
      </c>
    </row>
    <row r="32" spans="1:1" x14ac:dyDescent="0.25">
      <c r="A32" t="s">
        <v>29</v>
      </c>
    </row>
    <row r="33" spans="1:1" x14ac:dyDescent="0.25">
      <c r="A33" t="s">
        <v>30</v>
      </c>
    </row>
    <row r="34" spans="1:1" x14ac:dyDescent="0.25">
      <c r="A34" t="s">
        <v>31</v>
      </c>
    </row>
    <row r="35" spans="1:1" x14ac:dyDescent="0.25">
      <c r="A35" t="s">
        <v>127</v>
      </c>
    </row>
    <row r="36" spans="1:1" x14ac:dyDescent="0.25">
      <c r="A36" t="s">
        <v>128</v>
      </c>
    </row>
    <row r="37" spans="1:1" x14ac:dyDescent="0.25">
      <c r="A37" t="s">
        <v>32</v>
      </c>
    </row>
    <row r="38" spans="1:1" x14ac:dyDescent="0.25">
      <c r="A38" t="s">
        <v>128</v>
      </c>
    </row>
    <row r="39" spans="1:1" x14ac:dyDescent="0.25">
      <c r="A39" t="s">
        <v>127</v>
      </c>
    </row>
    <row r="40" spans="1:1" x14ac:dyDescent="0.25">
      <c r="A40" t="s">
        <v>33</v>
      </c>
    </row>
    <row r="41" spans="1:1" x14ac:dyDescent="0.25">
      <c r="A41" t="s">
        <v>34</v>
      </c>
    </row>
    <row r="43" spans="1:1" x14ac:dyDescent="0.25">
      <c r="A43" t="s">
        <v>35</v>
      </c>
    </row>
    <row r="44" spans="1:1" x14ac:dyDescent="0.25">
      <c r="A44" t="s">
        <v>36</v>
      </c>
    </row>
    <row r="45" spans="1:1" x14ac:dyDescent="0.25">
      <c r="A45" t="s">
        <v>37</v>
      </c>
    </row>
    <row r="46" spans="1:1" x14ac:dyDescent="0.25">
      <c r="A46" t="s">
        <v>38</v>
      </c>
    </row>
    <row r="47" spans="1:1" x14ac:dyDescent="0.25">
      <c r="A47" t="s">
        <v>39</v>
      </c>
    </row>
    <row r="48" spans="1:1" x14ac:dyDescent="0.25">
      <c r="A48" t="s">
        <v>40</v>
      </c>
    </row>
    <row r="49" spans="1:1" x14ac:dyDescent="0.25">
      <c r="A49" t="s">
        <v>41</v>
      </c>
    </row>
    <row r="51" spans="1:1" x14ac:dyDescent="0.25">
      <c r="A51" t="s">
        <v>42</v>
      </c>
    </row>
    <row r="52" spans="1:1" x14ac:dyDescent="0.25">
      <c r="A52" t="s">
        <v>43</v>
      </c>
    </row>
    <row r="53" spans="1:1" x14ac:dyDescent="0.25">
      <c r="A53" t="s">
        <v>44</v>
      </c>
    </row>
    <row r="54" spans="1:1" x14ac:dyDescent="0.25">
      <c r="A54" t="s">
        <v>41</v>
      </c>
    </row>
    <row r="56" spans="1:1" x14ac:dyDescent="0.25">
      <c r="A56" t="s">
        <v>123</v>
      </c>
    </row>
    <row r="57" spans="1:1" x14ac:dyDescent="0.25">
      <c r="A57" t="s">
        <v>125</v>
      </c>
    </row>
    <row r="58" spans="1:1" x14ac:dyDescent="0.25">
      <c r="A58" t="s">
        <v>126</v>
      </c>
    </row>
    <row r="59" spans="1:1" x14ac:dyDescent="0.25">
      <c r="A59" t="s">
        <v>41</v>
      </c>
    </row>
    <row r="61" spans="1:1" x14ac:dyDescent="0.25">
      <c r="A61" t="s">
        <v>45</v>
      </c>
    </row>
    <row r="62" spans="1:1" x14ac:dyDescent="0.25">
      <c r="A62" t="s">
        <v>127</v>
      </c>
    </row>
    <row r="63" spans="1:1" x14ac:dyDescent="0.25">
      <c r="A63" t="s">
        <v>128</v>
      </c>
    </row>
    <row r="64" spans="1:1" x14ac:dyDescent="0.25">
      <c r="A64" t="s">
        <v>124</v>
      </c>
    </row>
    <row r="65" spans="1:1" x14ac:dyDescent="0.25">
      <c r="A65" t="s">
        <v>128</v>
      </c>
    </row>
    <row r="66" spans="1:1" x14ac:dyDescent="0.25">
      <c r="A66" t="s">
        <v>127</v>
      </c>
    </row>
    <row r="67" spans="1:1" x14ac:dyDescent="0.25">
      <c r="A67" t="s">
        <v>46</v>
      </c>
    </row>
    <row r="68" spans="1:1" x14ac:dyDescent="0.25">
      <c r="A68" t="s">
        <v>41</v>
      </c>
    </row>
    <row r="69" spans="1:1" x14ac:dyDescent="0.25">
      <c r="A69" t="s">
        <v>47</v>
      </c>
    </row>
    <row r="71" spans="1:1" x14ac:dyDescent="0.25">
      <c r="A71" t="s">
        <v>48</v>
      </c>
    </row>
    <row r="72" spans="1:1" x14ac:dyDescent="0.25">
      <c r="A72" t="s">
        <v>28</v>
      </c>
    </row>
    <row r="73" spans="1:1" x14ac:dyDescent="0.25">
      <c r="A73" t="s">
        <v>49</v>
      </c>
    </row>
    <row r="74" spans="1:1" x14ac:dyDescent="0.25">
      <c r="A74" t="s">
        <v>34</v>
      </c>
    </row>
    <row r="75" spans="1:1" x14ac:dyDescent="0.25">
      <c r="A75" t="s">
        <v>50</v>
      </c>
    </row>
    <row r="76" spans="1:1" x14ac:dyDescent="0.25">
      <c r="A76" t="s">
        <v>51</v>
      </c>
    </row>
    <row r="77" spans="1:1" x14ac:dyDescent="0.25">
      <c r="A77" t="s">
        <v>28</v>
      </c>
    </row>
    <row r="78" spans="1:1" x14ac:dyDescent="0.25">
      <c r="A78" t="s">
        <v>52</v>
      </c>
    </row>
    <row r="79" spans="1:1" x14ac:dyDescent="0.25">
      <c r="A79" t="s">
        <v>34</v>
      </c>
    </row>
    <row r="81" spans="1:1" x14ac:dyDescent="0.25">
      <c r="A81" t="s">
        <v>53</v>
      </c>
    </row>
    <row r="82" spans="1:1" x14ac:dyDescent="0.25">
      <c r="A82" t="s">
        <v>28</v>
      </c>
    </row>
    <row r="83" spans="1:1" x14ac:dyDescent="0.25">
      <c r="A83" t="s">
        <v>54</v>
      </c>
    </row>
    <row r="84" spans="1:1" x14ac:dyDescent="0.25">
      <c r="A84" t="s">
        <v>34</v>
      </c>
    </row>
    <row r="86" spans="1:1" x14ac:dyDescent="0.25">
      <c r="A86" t="s">
        <v>55</v>
      </c>
    </row>
    <row r="87" spans="1:1" x14ac:dyDescent="0.25">
      <c r="A87" t="s">
        <v>28</v>
      </c>
    </row>
    <row r="88" spans="1:1" x14ac:dyDescent="0.25">
      <c r="A88" t="s">
        <v>56</v>
      </c>
    </row>
    <row r="89" spans="1:1" x14ac:dyDescent="0.25">
      <c r="A89" t="s">
        <v>34</v>
      </c>
    </row>
    <row r="91" spans="1:1" x14ac:dyDescent="0.25">
      <c r="A91" t="s">
        <v>57</v>
      </c>
    </row>
    <row r="92" spans="1:1" x14ac:dyDescent="0.25">
      <c r="A92" t="s">
        <v>58</v>
      </c>
    </row>
    <row r="93" spans="1:1" x14ac:dyDescent="0.25">
      <c r="A93" t="s">
        <v>31</v>
      </c>
    </row>
    <row r="94" spans="1:1" x14ac:dyDescent="0.25">
      <c r="A94" t="s">
        <v>59</v>
      </c>
    </row>
    <row r="95" spans="1:1" x14ac:dyDescent="0.25">
      <c r="A95" t="s">
        <v>60</v>
      </c>
    </row>
    <row r="96" spans="1:1" x14ac:dyDescent="0.25">
      <c r="A96" t="s">
        <v>61</v>
      </c>
    </row>
    <row r="97" spans="1:1" x14ac:dyDescent="0.25">
      <c r="A97" t="s">
        <v>33</v>
      </c>
    </row>
    <row r="98" spans="1:1" x14ac:dyDescent="0.25">
      <c r="A98" t="s">
        <v>62</v>
      </c>
    </row>
    <row r="100" spans="1:1" x14ac:dyDescent="0.25">
      <c r="A100" t="s">
        <v>63</v>
      </c>
    </row>
    <row r="101" spans="1:1" x14ac:dyDescent="0.25">
      <c r="A101" t="s">
        <v>58</v>
      </c>
    </row>
    <row r="102" spans="1:1" x14ac:dyDescent="0.25">
      <c r="A102" t="s">
        <v>31</v>
      </c>
    </row>
    <row r="103" spans="1:1" x14ac:dyDescent="0.25">
      <c r="A103" t="s">
        <v>64</v>
      </c>
    </row>
    <row r="104" spans="1:1" x14ac:dyDescent="0.25">
      <c r="A104" t="s">
        <v>60</v>
      </c>
    </row>
    <row r="105" spans="1:1" x14ac:dyDescent="0.25">
      <c r="A105" t="s">
        <v>65</v>
      </c>
    </row>
    <row r="106" spans="1:1" x14ac:dyDescent="0.25">
      <c r="A106" t="s">
        <v>33</v>
      </c>
    </row>
    <row r="107" spans="1:1" x14ac:dyDescent="0.25">
      <c r="A107" t="s">
        <v>62</v>
      </c>
    </row>
    <row r="109" spans="1:1" x14ac:dyDescent="0.25">
      <c r="A109" t="s">
        <v>66</v>
      </c>
    </row>
    <row r="110" spans="1:1" x14ac:dyDescent="0.25">
      <c r="A110" t="str">
        <f>"echo """&amp;A4&amp;""""</f>
        <v>echo "# | Version TRANSFORMERS : 18/12/2020"</v>
      </c>
    </row>
    <row r="111" spans="1:1" x14ac:dyDescent="0.25">
      <c r="A111" t="str">
        <f t="shared" ref="A111:A113" si="0">"echo """&amp;A5&amp;""""</f>
        <v>echo "# | Version PARPRE : 01/01/1900"</v>
      </c>
    </row>
    <row r="112" spans="1:1" x14ac:dyDescent="0.25">
      <c r="A112" t="str">
        <f t="shared" si="0"/>
        <v>echo "# | Version EBO : 01/01/1900"</v>
      </c>
    </row>
    <row r="113" spans="1:1" x14ac:dyDescent="0.25">
      <c r="A113" t="str">
        <f t="shared" ca="1" si="0"/>
        <v>echo "# | Date creation  : 17/03/2021 21:40:04"</v>
      </c>
    </row>
    <row r="115" spans="1:1" x14ac:dyDescent="0.25">
      <c r="A115" t="s">
        <v>37</v>
      </c>
    </row>
    <row r="116" spans="1:1" x14ac:dyDescent="0.25">
      <c r="A116" t="s">
        <v>97</v>
      </c>
    </row>
    <row r="117" spans="1:1" x14ac:dyDescent="0.25">
      <c r="A117" t="s">
        <v>98</v>
      </c>
    </row>
    <row r="118" spans="1:1" x14ac:dyDescent="0.25">
      <c r="A118" t="s">
        <v>99</v>
      </c>
    </row>
    <row r="120" spans="1:1" x14ac:dyDescent="0.25">
      <c r="A120" t="s">
        <v>100</v>
      </c>
    </row>
    <row r="121" spans="1:1" x14ac:dyDescent="0.25">
      <c r="A121" t="s">
        <v>101</v>
      </c>
    </row>
    <row r="122" spans="1:1" x14ac:dyDescent="0.25">
      <c r="A122" t="s">
        <v>99</v>
      </c>
    </row>
    <row r="124" spans="1:1" x14ac:dyDescent="0.25">
      <c r="A124" t="s">
        <v>121</v>
      </c>
    </row>
    <row r="125" spans="1:1" x14ac:dyDescent="0.25">
      <c r="A125" t="s">
        <v>122</v>
      </c>
    </row>
    <row r="126" spans="1:1" x14ac:dyDescent="0.25">
      <c r="A126" t="s">
        <v>99</v>
      </c>
    </row>
    <row r="127" spans="1:1" x14ac:dyDescent="0.25">
      <c r="A127" t="s">
        <v>47</v>
      </c>
    </row>
    <row r="129" spans="1:1" x14ac:dyDescent="0.25">
      <c r="A129" t="s">
        <v>67</v>
      </c>
    </row>
    <row r="131" spans="1:1" x14ac:dyDescent="0.25">
      <c r="A131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103</v>
      </c>
    </row>
    <row r="4" spans="1:1" x14ac:dyDescent="0.25">
      <c r="A4" t="s">
        <v>71</v>
      </c>
    </row>
    <row r="5" spans="1:1" x14ac:dyDescent="0.25">
      <c r="A5" t="s">
        <v>72</v>
      </c>
    </row>
    <row r="6" spans="1:1" x14ac:dyDescent="0.25">
      <c r="A6" t="s">
        <v>73</v>
      </c>
    </row>
    <row r="7" spans="1:1" x14ac:dyDescent="0.25">
      <c r="A7" t="s">
        <v>74</v>
      </c>
    </row>
    <row r="8" spans="1:1" x14ac:dyDescent="0.25">
      <c r="A8" t="s">
        <v>75</v>
      </c>
    </row>
    <row r="9" spans="1:1" x14ac:dyDescent="0.25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s="3" t="s">
        <v>82</v>
      </c>
    </row>
    <row r="8" spans="1:1" x14ac:dyDescent="0.25">
      <c r="A8" s="3" t="s">
        <v>83</v>
      </c>
    </row>
    <row r="9" spans="1:1" x14ac:dyDescent="0.25">
      <c r="A9" s="3" t="s">
        <v>84</v>
      </c>
    </row>
    <row r="10" spans="1:1" x14ac:dyDescent="0.25">
      <c r="A10" s="3" t="s">
        <v>85</v>
      </c>
    </row>
    <row r="11" spans="1:1" x14ac:dyDescent="0.25">
      <c r="A11" s="3" t="s">
        <v>86</v>
      </c>
    </row>
    <row r="12" spans="1:1" x14ac:dyDescent="0.25">
      <c r="A12" s="3" t="s">
        <v>87</v>
      </c>
    </row>
    <row r="13" spans="1:1" x14ac:dyDescent="0.25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t="s">
        <v>89</v>
      </c>
    </row>
    <row r="8" spans="1:1" x14ac:dyDescent="0.25">
      <c r="A8" t="s">
        <v>90</v>
      </c>
    </row>
    <row r="9" spans="1:1" x14ac:dyDescent="0.25">
      <c r="A9" t="s">
        <v>87</v>
      </c>
    </row>
    <row r="10" spans="1:1" x14ac:dyDescent="0.25">
      <c r="A10" t="s">
        <v>86</v>
      </c>
    </row>
    <row r="11" spans="1:1" x14ac:dyDescent="0.25">
      <c r="A11" t="s">
        <v>84</v>
      </c>
    </row>
    <row r="12" spans="1:1" x14ac:dyDescent="0.25">
      <c r="A12" t="s">
        <v>85</v>
      </c>
    </row>
    <row r="13" spans="1:1" x14ac:dyDescent="0.25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25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6.42578125" style="27" bestFit="1" customWidth="1"/>
    <col min="2" max="2" width="8" style="27" bestFit="1" customWidth="1"/>
    <col min="3" max="3" width="9.5703125" style="27" bestFit="1" customWidth="1"/>
    <col min="6" max="6" width="91.85546875" bestFit="1" customWidth="1"/>
    <col min="7" max="7" width="15.7109375" bestFit="1" customWidth="1"/>
  </cols>
  <sheetData>
    <row r="1" spans="1: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6" t="s">
        <v>3</v>
      </c>
      <c r="G1" s="1" t="s">
        <v>4</v>
      </c>
      <c r="H1" s="5" t="s">
        <v>96</v>
      </c>
    </row>
    <row r="2" spans="1:8" x14ac:dyDescent="0.25">
      <c r="A2" s="27">
        <v>4</v>
      </c>
      <c r="B2" s="27" t="s">
        <v>107</v>
      </c>
      <c r="C2" s="27" t="s">
        <v>109</v>
      </c>
      <c r="D2" t="s">
        <v>140</v>
      </c>
      <c r="E2" t="s">
        <v>134</v>
      </c>
      <c r="F2" t="s">
        <v>142</v>
      </c>
      <c r="G2">
        <v>1</v>
      </c>
    </row>
    <row r="3" spans="1:8" x14ac:dyDescent="0.25">
      <c r="A3" s="27">
        <v>6</v>
      </c>
      <c r="B3" s="27" t="s">
        <v>107</v>
      </c>
      <c r="C3" s="27" t="s">
        <v>109</v>
      </c>
      <c r="D3" t="s">
        <v>143</v>
      </c>
      <c r="E3" t="s">
        <v>134</v>
      </c>
      <c r="F3" t="s">
        <v>142</v>
      </c>
      <c r="G3">
        <v>1</v>
      </c>
    </row>
    <row r="4" spans="1:8" x14ac:dyDescent="0.25">
      <c r="A4" s="27">
        <v>7</v>
      </c>
      <c r="B4" s="27" t="s">
        <v>107</v>
      </c>
      <c r="C4" s="27" t="s">
        <v>109</v>
      </c>
      <c r="D4" t="s">
        <v>140</v>
      </c>
      <c r="E4" t="s">
        <v>134</v>
      </c>
      <c r="F4" t="s">
        <v>144</v>
      </c>
      <c r="G4" t="s">
        <v>145</v>
      </c>
    </row>
    <row r="5" spans="1:8" x14ac:dyDescent="0.25">
      <c r="A5" s="27">
        <v>8</v>
      </c>
      <c r="B5" s="27" t="s">
        <v>107</v>
      </c>
      <c r="C5" s="27" t="s">
        <v>109</v>
      </c>
      <c r="D5" t="s">
        <v>143</v>
      </c>
      <c r="E5" t="s">
        <v>134</v>
      </c>
      <c r="F5" t="s">
        <v>144</v>
      </c>
      <c r="G5" t="s">
        <v>145</v>
      </c>
    </row>
    <row r="6" spans="1:8" x14ac:dyDescent="0.25">
      <c r="A6" s="27">
        <v>11</v>
      </c>
      <c r="B6" s="27" t="s">
        <v>107</v>
      </c>
      <c r="C6" s="27" t="s">
        <v>109</v>
      </c>
      <c r="D6" t="s">
        <v>133</v>
      </c>
      <c r="E6" t="s">
        <v>134</v>
      </c>
      <c r="F6" t="s">
        <v>137</v>
      </c>
      <c r="G6">
        <v>0</v>
      </c>
    </row>
    <row r="7" spans="1:8" x14ac:dyDescent="0.25">
      <c r="A7" s="27">
        <v>12</v>
      </c>
      <c r="B7" s="27" t="s">
        <v>107</v>
      </c>
      <c r="C7" s="27" t="s">
        <v>109</v>
      </c>
      <c r="D7" t="s">
        <v>133</v>
      </c>
      <c r="E7" t="s">
        <v>134</v>
      </c>
      <c r="F7" t="s">
        <v>138</v>
      </c>
      <c r="G7">
        <v>0</v>
      </c>
    </row>
    <row r="8" spans="1:8" x14ac:dyDescent="0.25">
      <c r="A8" s="27">
        <v>15</v>
      </c>
      <c r="B8" s="27" t="s">
        <v>107</v>
      </c>
      <c r="C8" s="27" t="s">
        <v>109</v>
      </c>
      <c r="D8" t="s">
        <v>139</v>
      </c>
      <c r="E8" t="s">
        <v>134</v>
      </c>
      <c r="F8" t="s">
        <v>137</v>
      </c>
      <c r="G8">
        <v>1</v>
      </c>
    </row>
    <row r="9" spans="1:8" x14ac:dyDescent="0.25">
      <c r="A9" s="27">
        <v>16</v>
      </c>
      <c r="B9" s="27" t="s">
        <v>107</v>
      </c>
      <c r="C9" s="27" t="s">
        <v>109</v>
      </c>
      <c r="D9" t="s">
        <v>139</v>
      </c>
      <c r="E9" t="s">
        <v>134</v>
      </c>
      <c r="F9" t="s">
        <v>138</v>
      </c>
      <c r="G9">
        <v>1</v>
      </c>
    </row>
    <row r="10" spans="1:8" x14ac:dyDescent="0.25">
      <c r="A10">
        <v>19</v>
      </c>
      <c r="B10" t="s">
        <v>107</v>
      </c>
      <c r="C10" t="s">
        <v>109</v>
      </c>
      <c r="D10" t="s">
        <v>146</v>
      </c>
      <c r="E10" t="s">
        <v>134</v>
      </c>
      <c r="F10" t="s">
        <v>162</v>
      </c>
      <c r="G10">
        <v>1</v>
      </c>
    </row>
    <row r="11" spans="1:8" x14ac:dyDescent="0.25">
      <c r="A11">
        <v>20</v>
      </c>
      <c r="B11" t="s">
        <v>107</v>
      </c>
      <c r="C11" t="s">
        <v>109</v>
      </c>
      <c r="D11" t="s">
        <v>146</v>
      </c>
      <c r="E11" t="s">
        <v>134</v>
      </c>
      <c r="F11" t="s">
        <v>163</v>
      </c>
      <c r="G11">
        <v>1</v>
      </c>
    </row>
    <row r="12" spans="1:8" x14ac:dyDescent="0.25">
      <c r="A12"/>
      <c r="B12"/>
      <c r="C12"/>
    </row>
    <row r="13" spans="1:8" x14ac:dyDescent="0.25">
      <c r="A13"/>
      <c r="B13"/>
      <c r="C13"/>
    </row>
    <row r="14" spans="1:8" x14ac:dyDescent="0.25">
      <c r="A14"/>
      <c r="B14"/>
      <c r="C14"/>
    </row>
    <row r="15" spans="1:8" x14ac:dyDescent="0.25">
      <c r="A15"/>
      <c r="B15"/>
      <c r="C15"/>
    </row>
    <row r="16" spans="1:8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A22"/>
      <c r="B22"/>
      <c r="C22"/>
    </row>
    <row r="23" spans="1:3" x14ac:dyDescent="0.25">
      <c r="A23"/>
      <c r="B23"/>
      <c r="C23"/>
    </row>
    <row r="24" spans="1:3" x14ac:dyDescent="0.25">
      <c r="A24"/>
      <c r="B24"/>
      <c r="C24"/>
    </row>
    <row r="25" spans="1:3" x14ac:dyDescent="0.25">
      <c r="A25"/>
      <c r="B25"/>
      <c r="C25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5CE5F1-FB92-4980-BD92-F0EB5DFC60AA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sharepoint/v3"/>
    <ds:schemaRef ds:uri="081bcfd3-8243-49d0-a795-91f3d32c97ca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GAYE, Abdou Khadre Djily</cp:lastModifiedBy>
  <dcterms:created xsi:type="dcterms:W3CDTF">2020-02-03T09:56:53Z</dcterms:created>
  <dcterms:modified xsi:type="dcterms:W3CDTF">2021-03-17T20:40:10Z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