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017171\Downloads\"/>
    </mc:Choice>
  </mc:AlternateContent>
  <bookViews>
    <workbookView xWindow="0" yWindow="0" windowWidth="28800" windowHeight="12435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1" l="1"/>
  <c r="A14" i="1" s="1"/>
  <c r="A10" i="1"/>
  <c r="A3" i="1"/>
  <c r="A4" i="1" s="1"/>
  <c r="A5" i="1" s="1"/>
  <c r="A6" i="1" s="1"/>
  <c r="A7" i="2" l="1"/>
  <c r="A4" i="2" l="1"/>
  <c r="A101" i="2" s="1"/>
  <c r="A6" i="2"/>
  <c r="A103" i="2" s="1"/>
  <c r="A5" i="2"/>
  <c r="A102" i="2" s="1"/>
  <c r="A104" i="2" l="1"/>
  <c r="N3" i="1" l="1"/>
  <c r="N2" i="1"/>
</calcChain>
</file>

<file path=xl/sharedStrings.xml><?xml version="1.0" encoding="utf-8"?>
<sst xmlns="http://schemas.openxmlformats.org/spreadsheetml/2006/main" count="260" uniqueCount="142">
  <si>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</si>
  <si>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</si>
  <si>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</si>
  <si>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</si>
  <si>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</si>
  <si>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</si>
  <si>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</si>
  <si>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</si>
  <si>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</si>
  <si>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</si>
  <si>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</si>
  <si>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</si>
  <si>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</si>
  <si>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</si>
  <si>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</si>
  <si>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</si>
  <si>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</si>
  <si>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</si>
  <si>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</si>
  <si>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</si>
  <si>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</si>
  <si>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</si>
  <si>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</si>
  <si>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</si>
  <si>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</si>
  <si>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</si>
  <si>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</si>
  <si>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</si>
  <si>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</si>
  <si>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</si>
  <si>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</si>
  <si>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</si>
  <si>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</si>
  <si>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</si>
  <si>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</si>
  <si>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</si>
  <si>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</si>
  <si>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</si>
  <si>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</si>
  <si>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</si>
  <si>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</si>
  <si>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</si>
  <si>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</si>
  <si>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</si>
  <si>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</si>
  <si>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</si>
  <si>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</si>
  <si>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</si>
  <si>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</si>
  <si>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</si>
  <si>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</si>
  <si>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</si>
  <si>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</si>
  <si>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</si>
  <si>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</si>
  <si>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</si>
  <si>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</si>
  <si>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</si>
  <si>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</si>
  <si>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</si>
  <si>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</si>
  <si>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</si>
  <si>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</si>
  <si>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</si>
  <si>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</si>
  <si>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</si>
  <si>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</si>
  <si>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</si>
  <si>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</si>
  <si>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</si>
  <si>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</si>
  <si>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</si>
  <si>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</si>
  <si>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</si>
  <si>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</si>
  <si>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</si>
  <si>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</si>
  <si>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</si>
  <si>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</si>
  <si>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</si>
  <si>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</si>
  <si>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</si>
  <si>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</si>
  <si>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</si>
  <si>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</si>
  <si>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</si>
  <si>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</si>
  <si>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</si>
  <si>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</si>
  <si>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</si>
  <si>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</si>
  <si>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</si>
  <si>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</si>
  <si>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</si>
  <si>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</si>
  <si>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</si>
  <si>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</si>
  <si>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</si>
  <si>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</si>
  <si>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</si>
  <si>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</si>
  <si>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</si>
  <si>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</si>
  <si>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</si>
  <si>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</si>
  <si>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</si>
  <si>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NOM_USER</t>
  </si>
  <si>
    <t>R</t>
  </si>
  <si>
    <t>C</t>
  </si>
  <si>
    <t>V</t>
  </si>
  <si>
    <t>A</t>
  </si>
  <si>
    <t>NOM_REP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</si>
  <si>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</si>
  <si>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</si>
  <si>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</si>
  <si>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</si>
  <si>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</si>
  <si>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</si>
  <si>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</si>
  <si>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</si>
  <si>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</si>
  <si>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</si>
  <si>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</si>
  <si>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APP0059_BORICE</t>
  </si>
  <si>
    <t>F. GUIINTINI</t>
  </si>
  <si>
    <t>Ur_BORICE</t>
  </si>
  <si>
    <t>$NOM_USER</t>
  </si>
  <si>
    <t>/appli/$NOM_REP/jboss/bin/run-borice-core.sh 1800</t>
  </si>
  <si>
    <t>sleep 120</t>
  </si>
  <si>
    <t>ps -edf | grep -i $NOM_USER | grep -i borice-core | grep -v grep | wc -l</t>
  </si>
  <si>
    <t>/appli/$NOM_REP/jboss/bin/run-borice-web.sh 1800</t>
  </si>
  <si>
    <t>ps -edf | grep -i $NOM_USER | grep -i borice-web | grep -v grep | wc -l</t>
  </si>
  <si>
    <t>/appli/$NOM_REP/jboss-eap/jboss-eap-5.1/jboss-as/bin/jboss_run.sh</t>
  </si>
  <si>
    <t>ps -edf | grep -i $NOM_USER | grep -i jboss-eap-5 | grep -v grep | wc -l</t>
  </si>
  <si>
    <t>/appli/$NOM_REP/jboss-eap/jboss-eap-5.1/jboss-as/bin/jboss_shutdown.sh</t>
  </si>
  <si>
    <t>/appli/$NOM_REP/jboss/bin/shutdown-web-borice.sh 1800</t>
  </si>
  <si>
    <t>/appli/boarprd1/jboss/bin/shutdown-core-borice.sh 1800</t>
  </si>
  <si>
    <t>su10146</t>
  </si>
  <si>
    <t>su10254.vnx.it.ld</t>
  </si>
  <si>
    <t>nr0u0113.vnx.it.ld</t>
  </si>
  <si>
    <t>boarprd1</t>
  </si>
  <si>
    <t>boargpi6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</si>
</sst>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72"/>
  <sheetViews>
    <sheetView tabSelected="1" zoomScale="90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5" width="11.42578125" style="24" customWidth="1"/>
    <col min="6" max="6" width="110.7109375" style="24" customWidth="1"/>
    <col min="7" max="7" width="15.7109375" style="25" bestFit="1" customWidth="1"/>
    <col min="8" max="9" width="11.42578125" style="13"/>
    <col min="10" max="12" width="11.42578125" style="8"/>
    <col min="13" max="14" width="19.7109375" style="8" customWidth="1"/>
    <col min="15" max="15" width="24.140625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7" t="s">
        <v>123</v>
      </c>
      <c r="O1" s="2" t="s">
        <v>92</v>
      </c>
      <c r="P1" s="4" t="s">
        <v>124</v>
      </c>
      <c r="Q1" s="2" t="s">
        <v>112</v>
      </c>
      <c r="R1" s="9">
        <v>42835</v>
      </c>
    </row>
    <row r="2" spans="1:18" x14ac:dyDescent="0.25">
      <c r="A2" s="10">
        <v>1</v>
      </c>
      <c r="B2" s="10" t="s">
        <v>107</v>
      </c>
      <c r="C2" s="10" t="s">
        <v>108</v>
      </c>
      <c r="D2" s="11" t="s">
        <v>125</v>
      </c>
      <c r="E2" s="11" t="s">
        <v>126</v>
      </c>
      <c r="F2" s="11" t="s">
        <v>127</v>
      </c>
      <c r="G2" s="17"/>
      <c r="H2" s="17" t="s">
        <v>93</v>
      </c>
      <c r="I2" s="17" t="s">
        <v>91</v>
      </c>
      <c r="M2" s="14" t="s">
        <v>7</v>
      </c>
      <c r="N2" s="15">
        <f>SUMPRODUCT((B:B="A")*(C:C="C"))+SUMPRODUCT((B:B="A")*(C:C="V"))</f>
        <v>6</v>
      </c>
      <c r="O2" s="2" t="s">
        <v>114</v>
      </c>
      <c r="P2" s="9">
        <v>44007</v>
      </c>
      <c r="Q2" s="2" t="s">
        <v>113</v>
      </c>
      <c r="R2" s="9">
        <v>44004</v>
      </c>
    </row>
    <row r="3" spans="1:18" x14ac:dyDescent="0.25">
      <c r="A3" s="10">
        <f>A2+1</f>
        <v>2</v>
      </c>
      <c r="B3" s="10" t="s">
        <v>107</v>
      </c>
      <c r="C3" s="10" t="s">
        <v>108</v>
      </c>
      <c r="D3" s="11" t="s">
        <v>125</v>
      </c>
      <c r="E3" s="11" t="s">
        <v>126</v>
      </c>
      <c r="F3" s="11" t="s">
        <v>128</v>
      </c>
      <c r="G3" s="12"/>
      <c r="I3" s="17" t="s">
        <v>93</v>
      </c>
      <c r="M3" s="16" t="s">
        <v>8</v>
      </c>
      <c r="N3" s="15">
        <f>SUMPRODUCT((B:B="R")*(C:C="C"))+SUMPRODUCT((B:B="R")*(C:C="V"))</f>
        <v>7</v>
      </c>
    </row>
    <row r="4" spans="1:18" x14ac:dyDescent="0.25">
      <c r="A4" s="10">
        <f>A3+1</f>
        <v>3</v>
      </c>
      <c r="B4" s="10" t="s">
        <v>107</v>
      </c>
      <c r="C4" s="10" t="s">
        <v>109</v>
      </c>
      <c r="D4" s="11" t="s">
        <v>125</v>
      </c>
      <c r="E4" s="11" t="s">
        <v>126</v>
      </c>
      <c r="F4" s="11" t="s">
        <v>129</v>
      </c>
      <c r="G4" s="12">
        <v>1</v>
      </c>
      <c r="I4" s="13" t="s">
        <v>94</v>
      </c>
      <c r="M4" s="14" t="s">
        <v>9</v>
      </c>
      <c r="N4" s="14" t="s">
        <v>10</v>
      </c>
      <c r="O4" s="14" t="s">
        <v>116</v>
      </c>
      <c r="P4" s="14" t="s">
        <v>115</v>
      </c>
    </row>
    <row r="5" spans="1:18" x14ac:dyDescent="0.25">
      <c r="A5" s="10">
        <f>A4+1</f>
        <v>4</v>
      </c>
      <c r="B5" s="10" t="s">
        <v>107</v>
      </c>
      <c r="C5" s="10" t="s">
        <v>108</v>
      </c>
      <c r="D5" s="11" t="s">
        <v>125</v>
      </c>
      <c r="E5" s="11" t="s">
        <v>126</v>
      </c>
      <c r="F5" s="11" t="s">
        <v>130</v>
      </c>
      <c r="G5" s="12"/>
      <c r="H5" s="17" t="s">
        <v>93</v>
      </c>
      <c r="I5" s="13" t="s">
        <v>102</v>
      </c>
      <c r="M5" s="18" t="s">
        <v>125</v>
      </c>
      <c r="N5" s="18" t="s">
        <v>137</v>
      </c>
      <c r="O5" s="18" t="s">
        <v>138</v>
      </c>
      <c r="P5" s="18" t="s">
        <v>139</v>
      </c>
    </row>
    <row r="6" spans="1:18" x14ac:dyDescent="0.25">
      <c r="A6" s="10">
        <f>A5+1</f>
        <v>5</v>
      </c>
      <c r="B6" s="10" t="s">
        <v>107</v>
      </c>
      <c r="C6" s="10" t="s">
        <v>109</v>
      </c>
      <c r="D6" s="11" t="s">
        <v>125</v>
      </c>
      <c r="E6" s="11" t="s">
        <v>126</v>
      </c>
      <c r="F6" s="11" t="s">
        <v>131</v>
      </c>
      <c r="G6" s="12">
        <v>1</v>
      </c>
      <c r="H6" s="17"/>
      <c r="M6" s="18" t="s">
        <v>111</v>
      </c>
      <c r="N6" s="18" t="s">
        <v>140</v>
      </c>
      <c r="O6" s="18" t="s">
        <v>141</v>
      </c>
      <c r="P6" s="18" t="s">
        <v>141</v>
      </c>
    </row>
    <row r="7" spans="1:18" x14ac:dyDescent="0.25">
      <c r="A7" s="10">
        <v>6</v>
      </c>
      <c r="B7" s="10" t="s">
        <v>107</v>
      </c>
      <c r="C7" s="10" t="s">
        <v>108</v>
      </c>
      <c r="D7" s="11" t="s">
        <v>125</v>
      </c>
      <c r="E7" s="11" t="s">
        <v>126</v>
      </c>
      <c r="F7" s="11" t="s">
        <v>132</v>
      </c>
      <c r="G7" s="12"/>
      <c r="H7" s="17" t="s">
        <v>93</v>
      </c>
      <c r="M7" s="22" t="s">
        <v>106</v>
      </c>
      <c r="N7" s="18" t="s">
        <v>140</v>
      </c>
      <c r="O7" s="18" t="s">
        <v>141</v>
      </c>
      <c r="P7" s="18" t="s">
        <v>141</v>
      </c>
    </row>
    <row r="8" spans="1:18" x14ac:dyDescent="0.25">
      <c r="A8" s="10">
        <v>7</v>
      </c>
      <c r="B8" s="10" t="s">
        <v>107</v>
      </c>
      <c r="C8" s="10" t="s">
        <v>109</v>
      </c>
      <c r="D8" s="11" t="s">
        <v>125</v>
      </c>
      <c r="E8" s="11" t="s">
        <v>126</v>
      </c>
      <c r="F8" s="11" t="s">
        <v>133</v>
      </c>
      <c r="G8" s="12">
        <v>1</v>
      </c>
      <c r="M8" s="18"/>
      <c r="N8" s="18"/>
      <c r="O8" s="18"/>
      <c r="P8" s="18"/>
    </row>
    <row r="9" spans="1:18" x14ac:dyDescent="0.25">
      <c r="A9" s="10">
        <v>1</v>
      </c>
      <c r="B9" s="10" t="s">
        <v>110</v>
      </c>
      <c r="C9" s="10" t="s">
        <v>108</v>
      </c>
      <c r="D9" s="11" t="s">
        <v>125</v>
      </c>
      <c r="E9" s="11" t="s">
        <v>126</v>
      </c>
      <c r="F9" s="11" t="s">
        <v>134</v>
      </c>
      <c r="G9" s="12"/>
      <c r="M9" s="18"/>
      <c r="N9" s="18"/>
      <c r="O9" s="18"/>
      <c r="P9" s="18"/>
    </row>
    <row r="10" spans="1:18" x14ac:dyDescent="0.25">
      <c r="A10" s="10">
        <f>A9+1</f>
        <v>2</v>
      </c>
      <c r="B10" s="10" t="s">
        <v>110</v>
      </c>
      <c r="C10" s="10" t="s">
        <v>109</v>
      </c>
      <c r="D10" s="20" t="s">
        <v>125</v>
      </c>
      <c r="E10" s="11" t="s">
        <v>126</v>
      </c>
      <c r="F10" s="11" t="s">
        <v>133</v>
      </c>
      <c r="G10" s="12">
        <v>0</v>
      </c>
      <c r="M10" s="18"/>
      <c r="N10" s="18"/>
      <c r="O10" s="18"/>
      <c r="P10" s="18"/>
    </row>
    <row r="11" spans="1:18" x14ac:dyDescent="0.25">
      <c r="A11" s="10">
        <v>3</v>
      </c>
      <c r="B11" s="10" t="s">
        <v>110</v>
      </c>
      <c r="C11" s="10" t="s">
        <v>108</v>
      </c>
      <c r="D11" s="11" t="s">
        <v>125</v>
      </c>
      <c r="E11" s="11" t="s">
        <v>126</v>
      </c>
      <c r="F11" s="11" t="s">
        <v>135</v>
      </c>
      <c r="G11" s="12"/>
      <c r="M11" s="18"/>
      <c r="N11" s="18"/>
      <c r="O11" s="18"/>
      <c r="P11" s="18"/>
    </row>
    <row r="12" spans="1:18" x14ac:dyDescent="0.25">
      <c r="A12" s="10">
        <v>4</v>
      </c>
      <c r="B12" s="10" t="s">
        <v>110</v>
      </c>
      <c r="C12" s="10" t="s">
        <v>109</v>
      </c>
      <c r="D12" s="20" t="s">
        <v>125</v>
      </c>
      <c r="E12" s="11" t="s">
        <v>126</v>
      </c>
      <c r="F12" s="11" t="s">
        <v>131</v>
      </c>
      <c r="G12" s="12">
        <v>0</v>
      </c>
      <c r="H12" s="17"/>
      <c r="M12" s="18"/>
      <c r="N12" s="18"/>
      <c r="O12" s="18"/>
      <c r="P12" s="18"/>
    </row>
    <row r="13" spans="1:18" x14ac:dyDescent="0.25">
      <c r="A13" s="10">
        <f>A12+1</f>
        <v>5</v>
      </c>
      <c r="B13" s="10" t="s">
        <v>110</v>
      </c>
      <c r="C13" s="10" t="s">
        <v>108</v>
      </c>
      <c r="D13" s="11" t="s">
        <v>125</v>
      </c>
      <c r="E13" s="11" t="s">
        <v>126</v>
      </c>
      <c r="F13" s="11" t="s">
        <v>136</v>
      </c>
      <c r="G13" s="12"/>
      <c r="M13" s="18"/>
      <c r="N13" s="18"/>
      <c r="O13" s="18"/>
      <c r="P13" s="18"/>
    </row>
    <row r="14" spans="1:18" x14ac:dyDescent="0.25">
      <c r="A14" s="10">
        <f>A13+1</f>
        <v>6</v>
      </c>
      <c r="B14" s="10" t="s">
        <v>110</v>
      </c>
      <c r="C14" s="10" t="s">
        <v>109</v>
      </c>
      <c r="D14" s="20" t="s">
        <v>125</v>
      </c>
      <c r="E14" s="11" t="s">
        <v>126</v>
      </c>
      <c r="F14" s="11" t="s">
        <v>129</v>
      </c>
      <c r="G14" s="12">
        <v>0</v>
      </c>
      <c r="M14" s="18"/>
      <c r="N14" s="18"/>
      <c r="O14" s="18"/>
      <c r="P14" s="18"/>
    </row>
    <row r="15" spans="1:18" x14ac:dyDescent="0.25">
      <c r="A15" s="19"/>
      <c r="B15" s="10"/>
      <c r="C15" s="10"/>
      <c r="D15" s="20"/>
      <c r="E15" s="11"/>
      <c r="F15" s="13"/>
      <c r="G15" s="12"/>
      <c r="M15" s="18"/>
      <c r="N15" s="18"/>
      <c r="O15" s="18"/>
      <c r="P15" s="18"/>
    </row>
    <row r="16" spans="1:18" x14ac:dyDescent="0.25">
      <c r="A16" s="19"/>
      <c r="B16" s="10"/>
      <c r="C16" s="10"/>
      <c r="D16" s="20"/>
      <c r="E16" s="11"/>
      <c r="F16" s="13"/>
      <c r="G16" s="12"/>
      <c r="M16" s="18"/>
      <c r="N16" s="18"/>
      <c r="O16" s="18"/>
      <c r="P16" s="18"/>
    </row>
    <row r="17" spans="1:16" x14ac:dyDescent="0.25">
      <c r="A17" s="19"/>
      <c r="B17" s="10"/>
      <c r="C17" s="10"/>
      <c r="D17" s="11"/>
      <c r="E17" s="11"/>
      <c r="F17" s="13"/>
      <c r="G17" s="12"/>
      <c r="M17" s="18"/>
      <c r="N17" s="18"/>
      <c r="O17" s="18"/>
      <c r="P17" s="22"/>
    </row>
    <row r="18" spans="1:16" x14ac:dyDescent="0.25">
      <c r="A18" s="19"/>
      <c r="B18" s="10"/>
      <c r="C18" s="10"/>
      <c r="D18" s="20"/>
      <c r="E18" s="11"/>
      <c r="F18" s="13"/>
      <c r="G18" s="12"/>
      <c r="M18" s="18"/>
      <c r="N18" s="18"/>
      <c r="O18" s="18"/>
      <c r="P18" s="22"/>
    </row>
    <row r="19" spans="1:16" x14ac:dyDescent="0.25">
      <c r="A19" s="19"/>
      <c r="B19" s="10"/>
      <c r="C19" s="10"/>
      <c r="D19" s="20"/>
      <c r="E19" s="11"/>
      <c r="F19" s="13"/>
      <c r="G19" s="12"/>
      <c r="H19" s="17"/>
      <c r="M19" s="22"/>
      <c r="N19" s="18"/>
      <c r="O19" s="18"/>
      <c r="P19" s="22"/>
    </row>
    <row r="20" spans="1:16" x14ac:dyDescent="0.25">
      <c r="A20" s="19"/>
      <c r="B20" s="10"/>
      <c r="C20" s="10"/>
      <c r="D20" s="20"/>
      <c r="E20" s="11"/>
      <c r="F20" s="13"/>
      <c r="G20" s="12"/>
      <c r="M20" s="18"/>
      <c r="N20" s="18"/>
      <c r="O20" s="18"/>
      <c r="P20" s="22"/>
    </row>
    <row r="21" spans="1:16" x14ac:dyDescent="0.25">
      <c r="A21" s="19"/>
      <c r="B21" s="10"/>
      <c r="C21" s="10"/>
      <c r="D21" s="11"/>
      <c r="E21" s="11"/>
      <c r="F21" s="13"/>
      <c r="G21" s="12"/>
      <c r="O21" s="22"/>
      <c r="P21" s="22"/>
    </row>
    <row r="22" spans="1:16" x14ac:dyDescent="0.25">
      <c r="A22" s="19"/>
      <c r="B22" s="10"/>
      <c r="C22" s="10"/>
      <c r="D22" s="20"/>
      <c r="E22" s="11"/>
      <c r="F22" s="21"/>
      <c r="G22" s="12"/>
      <c r="H22" s="17"/>
      <c r="O22" s="22"/>
      <c r="P22" s="22"/>
    </row>
    <row r="23" spans="1:16" x14ac:dyDescent="0.25">
      <c r="A23" s="19"/>
      <c r="B23" s="10"/>
      <c r="C23" s="10"/>
      <c r="D23" s="20"/>
      <c r="E23" s="11"/>
      <c r="F23" s="21"/>
      <c r="G23" s="12"/>
      <c r="N23" s="22"/>
      <c r="O23" s="22"/>
      <c r="P23" s="22"/>
    </row>
    <row r="24" spans="1:16" x14ac:dyDescent="0.25">
      <c r="A24" s="10"/>
      <c r="B24" s="10"/>
      <c r="C24" s="10"/>
      <c r="D24" s="15"/>
      <c r="E24" s="11"/>
      <c r="F24" s="15"/>
      <c r="G24" s="23"/>
      <c r="N24" s="22"/>
      <c r="O24" s="22"/>
      <c r="P24" s="22"/>
    </row>
    <row r="25" spans="1:16" x14ac:dyDescent="0.25">
      <c r="A25" s="10"/>
      <c r="B25" s="10"/>
      <c r="C25" s="10"/>
      <c r="D25" s="15"/>
      <c r="E25" s="11"/>
      <c r="F25" s="18"/>
      <c r="G25" s="12"/>
    </row>
    <row r="26" spans="1:16" x14ac:dyDescent="0.25">
      <c r="A26" s="10"/>
      <c r="B26" s="10"/>
      <c r="C26" s="10"/>
      <c r="D26" s="15"/>
      <c r="E26" s="11"/>
      <c r="F26" s="8"/>
      <c r="G26" s="12"/>
    </row>
    <row r="27" spans="1:16" x14ac:dyDescent="0.25">
      <c r="A27" s="10"/>
      <c r="B27" s="10"/>
      <c r="C27" s="10"/>
      <c r="D27" s="11"/>
      <c r="E27" s="11"/>
      <c r="F27" s="18"/>
      <c r="G27" s="23"/>
    </row>
    <row r="28" spans="1:16" x14ac:dyDescent="0.25">
      <c r="A28" s="10"/>
      <c r="B28" s="10"/>
      <c r="C28" s="10"/>
      <c r="D28" s="11"/>
      <c r="E28" s="11"/>
      <c r="F28" s="18"/>
      <c r="G28" s="12"/>
    </row>
    <row r="29" spans="1:16" x14ac:dyDescent="0.25">
      <c r="A29" s="10"/>
      <c r="B29" s="10"/>
      <c r="C29" s="10"/>
      <c r="D29" s="11"/>
      <c r="E29" s="11"/>
      <c r="F29" s="11"/>
      <c r="G29" s="12"/>
    </row>
    <row r="30" spans="1:16" x14ac:dyDescent="0.25">
      <c r="A30" s="10"/>
      <c r="B30" s="10"/>
      <c r="C30" s="10"/>
      <c r="D30" s="11"/>
      <c r="E30" s="11"/>
      <c r="F30" s="18"/>
      <c r="G30" s="23"/>
      <c r="H30" s="17"/>
    </row>
    <row r="31" spans="1:16" x14ac:dyDescent="0.25">
      <c r="A31" s="10"/>
      <c r="B31" s="10"/>
      <c r="C31" s="10"/>
      <c r="D31" s="11"/>
      <c r="E31" s="11"/>
      <c r="F31" s="11"/>
      <c r="G31" s="12"/>
    </row>
    <row r="32" spans="1:16" x14ac:dyDescent="0.25">
      <c r="A32" s="10"/>
      <c r="B32" s="10"/>
      <c r="C32" s="10"/>
      <c r="D32" s="11"/>
      <c r="E32" s="11"/>
      <c r="F32" s="11"/>
      <c r="G32" s="12"/>
    </row>
    <row r="33" spans="1:8" x14ac:dyDescent="0.25">
      <c r="A33" s="10"/>
      <c r="B33" s="10"/>
      <c r="C33" s="10"/>
      <c r="D33" s="11"/>
      <c r="E33" s="11"/>
      <c r="F33" s="11"/>
      <c r="G33" s="12"/>
    </row>
    <row r="34" spans="1:8" x14ac:dyDescent="0.25">
      <c r="A34" s="10"/>
      <c r="B34" s="10"/>
      <c r="C34" s="10"/>
      <c r="D34" s="11"/>
      <c r="E34" s="11"/>
      <c r="F34" s="11"/>
      <c r="G34" s="12"/>
    </row>
    <row r="35" spans="1:8" x14ac:dyDescent="0.25">
      <c r="A35" s="10"/>
      <c r="B35" s="10"/>
      <c r="C35" s="10"/>
      <c r="D35" s="11"/>
      <c r="E35" s="11"/>
      <c r="F35" s="11"/>
      <c r="G35" s="12"/>
      <c r="H35" s="17"/>
    </row>
    <row r="36" spans="1:8" x14ac:dyDescent="0.25">
      <c r="A36" s="10"/>
      <c r="B36" s="10"/>
      <c r="C36" s="10"/>
      <c r="D36" s="11"/>
      <c r="E36" s="11"/>
      <c r="F36" s="11"/>
      <c r="G36" s="12"/>
      <c r="H36" s="17"/>
    </row>
    <row r="37" spans="1:8" x14ac:dyDescent="0.25">
      <c r="A37" s="10"/>
      <c r="B37" s="10"/>
      <c r="C37" s="10"/>
      <c r="D37" s="11"/>
      <c r="E37" s="11"/>
      <c r="F37" s="11"/>
      <c r="G37" s="12"/>
    </row>
    <row r="38" spans="1:8" x14ac:dyDescent="0.25">
      <c r="A38" s="10"/>
      <c r="B38" s="10"/>
      <c r="C38" s="10"/>
      <c r="D38" s="11"/>
      <c r="E38" s="11"/>
      <c r="F38" s="11"/>
      <c r="G38" s="12"/>
    </row>
    <row r="39" spans="1:8" x14ac:dyDescent="0.25">
      <c r="A39" s="10"/>
      <c r="B39" s="10"/>
      <c r="C39" s="10"/>
      <c r="D39" s="11"/>
      <c r="E39" s="11"/>
      <c r="F39" s="11"/>
      <c r="G39" s="12"/>
    </row>
    <row r="40" spans="1:8" x14ac:dyDescent="0.25">
      <c r="A40" s="10"/>
      <c r="B40" s="10"/>
      <c r="C40" s="10"/>
      <c r="D40" s="11"/>
      <c r="E40" s="11"/>
      <c r="F40" s="11"/>
      <c r="G40" s="12"/>
    </row>
    <row r="41" spans="1:8" x14ac:dyDescent="0.25">
      <c r="A41" s="10"/>
      <c r="B41" s="10"/>
      <c r="C41" s="10"/>
      <c r="D41" s="11"/>
      <c r="E41" s="11"/>
      <c r="F41" s="11"/>
      <c r="G41" s="12"/>
    </row>
    <row r="42" spans="1:8" x14ac:dyDescent="0.25">
      <c r="A42" s="10"/>
      <c r="B42" s="10"/>
      <c r="C42" s="10"/>
      <c r="D42" s="20"/>
      <c r="E42" s="20"/>
      <c r="F42" s="13"/>
      <c r="G42" s="12"/>
      <c r="H42" s="17"/>
    </row>
    <row r="43" spans="1:8" x14ac:dyDescent="0.25">
      <c r="A43" s="10"/>
      <c r="B43" s="10"/>
      <c r="C43" s="10"/>
      <c r="D43" s="11"/>
      <c r="E43" s="11"/>
      <c r="F43" s="13"/>
      <c r="G43" s="12"/>
    </row>
    <row r="44" spans="1:8" x14ac:dyDescent="0.25">
      <c r="A44" s="10"/>
      <c r="B44" s="10"/>
      <c r="C44" s="10"/>
      <c r="D44" s="20"/>
      <c r="E44" s="20"/>
      <c r="F44" s="13"/>
      <c r="G44" s="12"/>
    </row>
    <row r="45" spans="1:8" x14ac:dyDescent="0.25">
      <c r="A45" s="10"/>
      <c r="B45" s="10"/>
      <c r="C45" s="10"/>
      <c r="D45" s="20"/>
      <c r="E45" s="20"/>
      <c r="F45" s="13"/>
      <c r="G45" s="12"/>
    </row>
    <row r="46" spans="1:8" x14ac:dyDescent="0.25">
      <c r="A46" s="10"/>
      <c r="B46" s="10"/>
      <c r="C46" s="10"/>
      <c r="D46" s="20"/>
      <c r="E46" s="20"/>
      <c r="F46" s="13"/>
      <c r="G46" s="12"/>
    </row>
    <row r="47" spans="1:8" x14ac:dyDescent="0.25">
      <c r="A47" s="10"/>
      <c r="B47" s="10"/>
      <c r="C47" s="10"/>
      <c r="D47" s="11"/>
      <c r="E47" s="11"/>
      <c r="F47" s="13"/>
      <c r="G47" s="12"/>
      <c r="H47" s="17"/>
    </row>
    <row r="48" spans="1:8" x14ac:dyDescent="0.25">
      <c r="A48" s="10"/>
      <c r="B48" s="10"/>
      <c r="C48" s="10"/>
      <c r="D48" s="20"/>
      <c r="E48" s="20"/>
      <c r="F48" s="13"/>
      <c r="G48" s="12"/>
    </row>
    <row r="49" spans="1:8" x14ac:dyDescent="0.25">
      <c r="A49" s="10"/>
      <c r="B49" s="10"/>
      <c r="C49" s="10"/>
      <c r="D49" s="20"/>
      <c r="E49" s="20"/>
      <c r="F49" s="21"/>
      <c r="G49" s="12"/>
    </row>
    <row r="50" spans="1:8" x14ac:dyDescent="0.25">
      <c r="A50" s="10"/>
      <c r="B50" s="10"/>
      <c r="C50" s="10"/>
      <c r="D50" s="20"/>
      <c r="E50" s="20"/>
      <c r="F50" s="21"/>
      <c r="G50" s="12"/>
    </row>
    <row r="51" spans="1:8" x14ac:dyDescent="0.25">
      <c r="A51" s="10"/>
      <c r="B51" s="10"/>
      <c r="C51" s="10"/>
      <c r="D51" s="15"/>
      <c r="E51" s="11"/>
      <c r="F51" s="20"/>
      <c r="G51" s="23"/>
      <c r="H51" s="17"/>
    </row>
    <row r="52" spans="1:8" x14ac:dyDescent="0.25">
      <c r="A52" s="10"/>
      <c r="B52" s="10"/>
      <c r="C52" s="10"/>
      <c r="D52" s="15"/>
      <c r="E52" s="11"/>
      <c r="F52" s="18"/>
      <c r="G52" s="12"/>
    </row>
    <row r="53" spans="1:8" x14ac:dyDescent="0.25">
      <c r="A53" s="10"/>
      <c r="B53" s="10"/>
      <c r="C53" s="10"/>
      <c r="D53" s="15"/>
      <c r="E53" s="11"/>
      <c r="F53" s="8"/>
      <c r="G53" s="12"/>
      <c r="H53" s="17"/>
    </row>
    <row r="54" spans="1:8" x14ac:dyDescent="0.25">
      <c r="A54" s="10"/>
      <c r="B54" s="10"/>
      <c r="C54" s="10"/>
      <c r="D54" s="11"/>
      <c r="E54" s="11"/>
      <c r="F54" s="18"/>
      <c r="G54" s="23"/>
      <c r="H54" s="17"/>
    </row>
    <row r="55" spans="1:8" x14ac:dyDescent="0.25">
      <c r="A55" s="10"/>
      <c r="B55" s="10"/>
      <c r="C55" s="10"/>
      <c r="D55" s="11"/>
      <c r="E55" s="11"/>
      <c r="F55" s="18"/>
      <c r="G55" s="12"/>
    </row>
    <row r="56" spans="1:8" x14ac:dyDescent="0.25">
      <c r="A56" s="10"/>
      <c r="B56" s="10"/>
      <c r="C56" s="10"/>
      <c r="D56" s="11"/>
      <c r="E56" s="11"/>
      <c r="F56" s="11"/>
      <c r="G56" s="12"/>
    </row>
    <row r="57" spans="1:8" x14ac:dyDescent="0.25">
      <c r="A57" s="10"/>
      <c r="B57" s="10"/>
      <c r="C57" s="10"/>
      <c r="D57" s="11"/>
      <c r="E57" s="11"/>
      <c r="F57" s="18"/>
      <c r="G57" s="23"/>
      <c r="H57" s="17"/>
    </row>
    <row r="58" spans="1:8" x14ac:dyDescent="0.25">
      <c r="A58" s="10"/>
      <c r="B58" s="10"/>
      <c r="C58" s="10"/>
      <c r="D58" s="11"/>
      <c r="E58" s="11"/>
      <c r="F58" s="11"/>
      <c r="G58" s="12"/>
    </row>
    <row r="59" spans="1:8" x14ac:dyDescent="0.25">
      <c r="A59" s="10"/>
      <c r="B59" s="10"/>
      <c r="C59" s="10"/>
      <c r="D59" s="22"/>
      <c r="E59" s="11"/>
      <c r="F59" s="21"/>
      <c r="G59" s="12"/>
    </row>
    <row r="60" spans="1:8" x14ac:dyDescent="0.25">
      <c r="A60" s="10"/>
      <c r="B60" s="10"/>
      <c r="C60" s="10"/>
      <c r="D60" s="11"/>
      <c r="E60" s="11"/>
      <c r="F60" s="21"/>
      <c r="G60" s="12"/>
    </row>
    <row r="61" spans="1:8" x14ac:dyDescent="0.25">
      <c r="A61" s="19"/>
      <c r="B61" s="10"/>
      <c r="C61" s="10"/>
      <c r="D61" s="20"/>
      <c r="E61" s="11"/>
      <c r="F61" s="13"/>
      <c r="G61" s="12"/>
    </row>
    <row r="62" spans="1:8" x14ac:dyDescent="0.25">
      <c r="A62" s="19"/>
      <c r="B62" s="10"/>
      <c r="C62" s="10"/>
      <c r="D62" s="20"/>
      <c r="E62" s="11"/>
      <c r="F62" s="13"/>
      <c r="G62" s="12"/>
    </row>
    <row r="63" spans="1:8" x14ac:dyDescent="0.25">
      <c r="A63" s="19"/>
      <c r="B63" s="10"/>
      <c r="C63" s="10"/>
      <c r="D63" s="11"/>
      <c r="E63" s="11"/>
      <c r="F63" s="13"/>
      <c r="G63" s="12"/>
    </row>
    <row r="64" spans="1:8" x14ac:dyDescent="0.25">
      <c r="A64" s="19"/>
      <c r="B64" s="10"/>
      <c r="C64" s="10"/>
      <c r="D64" s="20"/>
      <c r="E64" s="11"/>
      <c r="F64" s="13"/>
      <c r="G64" s="12"/>
    </row>
    <row r="65" spans="1:8" x14ac:dyDescent="0.25">
      <c r="A65" s="19"/>
      <c r="B65" s="10"/>
      <c r="C65" s="10"/>
      <c r="D65" s="20"/>
      <c r="E65" s="11"/>
      <c r="F65" s="13"/>
      <c r="G65" s="12"/>
    </row>
    <row r="66" spans="1:8" x14ac:dyDescent="0.25">
      <c r="A66" s="19"/>
      <c r="B66" s="10"/>
      <c r="C66" s="10"/>
      <c r="D66" s="20"/>
      <c r="E66" s="11"/>
      <c r="F66" s="13"/>
      <c r="G66" s="12"/>
    </row>
    <row r="67" spans="1:8" x14ac:dyDescent="0.25">
      <c r="A67" s="19"/>
      <c r="B67" s="10"/>
      <c r="C67" s="10"/>
      <c r="D67" s="20"/>
      <c r="E67" s="11"/>
      <c r="F67" s="13"/>
      <c r="G67" s="12"/>
    </row>
    <row r="68" spans="1:8" x14ac:dyDescent="0.25">
      <c r="A68" s="19"/>
      <c r="B68" s="10"/>
      <c r="C68" s="10"/>
      <c r="D68" s="11"/>
      <c r="E68" s="11"/>
      <c r="F68" s="13"/>
      <c r="G68" s="12"/>
    </row>
    <row r="69" spans="1:8" x14ac:dyDescent="0.25">
      <c r="A69" s="19"/>
      <c r="B69" s="10"/>
      <c r="C69" s="10"/>
      <c r="D69" s="20"/>
      <c r="E69" s="11"/>
      <c r="F69" s="21"/>
      <c r="G69" s="12"/>
    </row>
    <row r="70" spans="1:8" x14ac:dyDescent="0.25">
      <c r="A70" s="19"/>
      <c r="B70" s="10"/>
      <c r="C70" s="10"/>
      <c r="D70" s="20"/>
      <c r="E70" s="11"/>
      <c r="F70" s="21"/>
      <c r="G70" s="12"/>
    </row>
    <row r="71" spans="1:8" x14ac:dyDescent="0.25">
      <c r="A71" s="10"/>
      <c r="B71" s="10"/>
      <c r="C71" s="10"/>
      <c r="D71" s="15"/>
      <c r="E71" s="11"/>
      <c r="F71" s="18"/>
      <c r="G71" s="12"/>
      <c r="H71" s="15"/>
    </row>
    <row r="72" spans="1:8" x14ac:dyDescent="0.25">
      <c r="D72" s="15"/>
      <c r="E72" s="11"/>
      <c r="F72" s="18"/>
      <c r="G72" s="12"/>
      <c r="H72" s="15"/>
    </row>
  </sheetData>
  <sortState ref="A2:H14">
    <sortCondition descending="1" ref="B2:B14"/>
    <sortCondition ref="A2:A14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22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25/06/2020</v>
      </c>
    </row>
    <row r="5" spans="1:1" x14ac:dyDescent="0.25">
      <c r="A5" t="str">
        <f>"# | Version PARPRE : "&amp;TEXT(Accueil!R1,"JJ/MM/AAAA")</f>
        <v># | Version PARPRE : 10/04/2017</v>
      </c>
    </row>
    <row r="6" spans="1:1" x14ac:dyDescent="0.25">
      <c r="A6" t="str">
        <f>"# | Version EBO : "&amp;TEXT(Accueil!R2,"JJ/MM/AAAA")</f>
        <v># | Version EBO : 22/06/2020</v>
      </c>
    </row>
    <row r="7" spans="1:1" x14ac:dyDescent="0.25">
      <c r="A7" t="str">
        <f ca="1">CONCATENATE("# | Date creation  : ",TEXT(NOW(),"jj/mm/aaaa hh:mm:ss"))</f>
        <v># | Date creation  : 15/09/2020 10:03:00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6" spans="1:1" x14ac:dyDescent="0.25">
      <c r="A46" t="s">
        <v>42</v>
      </c>
    </row>
    <row r="47" spans="1:1" x14ac:dyDescent="0.25">
      <c r="A47" t="s">
        <v>43</v>
      </c>
    </row>
    <row r="48" spans="1:1" x14ac:dyDescent="0.25">
      <c r="A48" t="s">
        <v>44</v>
      </c>
    </row>
    <row r="49" spans="1:1" x14ac:dyDescent="0.25">
      <c r="A49" t="s">
        <v>41</v>
      </c>
    </row>
    <row r="51" spans="1:1" x14ac:dyDescent="0.25">
      <c r="A51" t="s">
        <v>119</v>
      </c>
    </row>
    <row r="52" spans="1:1" x14ac:dyDescent="0.25">
      <c r="A52" t="s">
        <v>121</v>
      </c>
    </row>
    <row r="53" spans="1:1" x14ac:dyDescent="0.25">
      <c r="A53" t="s">
        <v>122</v>
      </c>
    </row>
    <row r="54" spans="1:1" x14ac:dyDescent="0.25">
      <c r="A54" t="s">
        <v>41</v>
      </c>
    </row>
    <row r="56" spans="1:1" x14ac:dyDescent="0.25">
      <c r="A56" t="s">
        <v>45</v>
      </c>
    </row>
    <row r="57" spans="1:1" x14ac:dyDescent="0.25">
      <c r="A57" t="s">
        <v>120</v>
      </c>
    </row>
    <row r="58" spans="1:1" x14ac:dyDescent="0.25">
      <c r="A58" t="s">
        <v>46</v>
      </c>
    </row>
    <row r="59" spans="1:1" x14ac:dyDescent="0.25">
      <c r="A59" t="s">
        <v>41</v>
      </c>
    </row>
    <row r="60" spans="1:1" x14ac:dyDescent="0.25">
      <c r="A60" t="s">
        <v>47</v>
      </c>
    </row>
    <row r="62" spans="1:1" x14ac:dyDescent="0.25">
      <c r="A62" t="s">
        <v>48</v>
      </c>
    </row>
    <row r="63" spans="1:1" x14ac:dyDescent="0.25">
      <c r="A63" t="s">
        <v>28</v>
      </c>
    </row>
    <row r="64" spans="1:1" x14ac:dyDescent="0.25">
      <c r="A64" t="s">
        <v>49</v>
      </c>
    </row>
    <row r="65" spans="1:1" x14ac:dyDescent="0.25">
      <c r="A65" t="s">
        <v>34</v>
      </c>
    </row>
    <row r="66" spans="1:1" x14ac:dyDescent="0.25">
      <c r="A66" t="s">
        <v>50</v>
      </c>
    </row>
    <row r="67" spans="1:1" x14ac:dyDescent="0.25">
      <c r="A67" t="s">
        <v>51</v>
      </c>
    </row>
    <row r="68" spans="1:1" x14ac:dyDescent="0.25">
      <c r="A68" t="s">
        <v>28</v>
      </c>
    </row>
    <row r="69" spans="1:1" x14ac:dyDescent="0.25">
      <c r="A69" t="s">
        <v>52</v>
      </c>
    </row>
    <row r="70" spans="1:1" x14ac:dyDescent="0.25">
      <c r="A70" t="s">
        <v>34</v>
      </c>
    </row>
    <row r="72" spans="1:1" x14ac:dyDescent="0.25">
      <c r="A72" t="s">
        <v>53</v>
      </c>
    </row>
    <row r="73" spans="1:1" x14ac:dyDescent="0.25">
      <c r="A73" t="s">
        <v>28</v>
      </c>
    </row>
    <row r="74" spans="1:1" x14ac:dyDescent="0.25">
      <c r="A74" t="s">
        <v>54</v>
      </c>
    </row>
    <row r="75" spans="1:1" x14ac:dyDescent="0.25">
      <c r="A75" t="s">
        <v>34</v>
      </c>
    </row>
    <row r="77" spans="1:1" x14ac:dyDescent="0.25">
      <c r="A77" t="s">
        <v>55</v>
      </c>
    </row>
    <row r="78" spans="1:1" x14ac:dyDescent="0.25">
      <c r="A78" t="s">
        <v>28</v>
      </c>
    </row>
    <row r="79" spans="1:1" x14ac:dyDescent="0.25">
      <c r="A79" t="s">
        <v>56</v>
      </c>
    </row>
    <row r="80" spans="1:1" x14ac:dyDescent="0.25">
      <c r="A80" t="s">
        <v>34</v>
      </c>
    </row>
    <row r="82" spans="1:1" x14ac:dyDescent="0.25">
      <c r="A82" t="s">
        <v>57</v>
      </c>
    </row>
    <row r="83" spans="1:1" x14ac:dyDescent="0.25">
      <c r="A83" t="s">
        <v>58</v>
      </c>
    </row>
    <row r="84" spans="1:1" x14ac:dyDescent="0.25">
      <c r="A84" t="s">
        <v>31</v>
      </c>
    </row>
    <row r="85" spans="1:1" x14ac:dyDescent="0.25">
      <c r="A85" t="s">
        <v>59</v>
      </c>
    </row>
    <row r="86" spans="1:1" x14ac:dyDescent="0.25">
      <c r="A86" t="s">
        <v>60</v>
      </c>
    </row>
    <row r="87" spans="1:1" x14ac:dyDescent="0.25">
      <c r="A87" t="s">
        <v>61</v>
      </c>
    </row>
    <row r="88" spans="1:1" x14ac:dyDescent="0.25">
      <c r="A88" t="s">
        <v>33</v>
      </c>
    </row>
    <row r="89" spans="1:1" x14ac:dyDescent="0.25">
      <c r="A89" t="s">
        <v>62</v>
      </c>
    </row>
    <row r="91" spans="1:1" x14ac:dyDescent="0.25">
      <c r="A91" t="s">
        <v>63</v>
      </c>
    </row>
    <row r="92" spans="1:1" x14ac:dyDescent="0.25">
      <c r="A92" t="s">
        <v>58</v>
      </c>
    </row>
    <row r="93" spans="1:1" x14ac:dyDescent="0.25">
      <c r="A93" t="s">
        <v>31</v>
      </c>
    </row>
    <row r="94" spans="1:1" x14ac:dyDescent="0.25">
      <c r="A94" t="s">
        <v>64</v>
      </c>
    </row>
    <row r="95" spans="1:1" x14ac:dyDescent="0.25">
      <c r="A95" t="s">
        <v>60</v>
      </c>
    </row>
    <row r="96" spans="1:1" x14ac:dyDescent="0.25">
      <c r="A96" t="s">
        <v>65</v>
      </c>
    </row>
    <row r="97" spans="1:1" x14ac:dyDescent="0.25">
      <c r="A97" t="s">
        <v>33</v>
      </c>
    </row>
    <row r="98" spans="1:1" x14ac:dyDescent="0.25">
      <c r="A98" t="s">
        <v>62</v>
      </c>
    </row>
    <row r="100" spans="1:1" x14ac:dyDescent="0.25">
      <c r="A100" t="s">
        <v>66</v>
      </c>
    </row>
    <row r="101" spans="1:1" x14ac:dyDescent="0.25">
      <c r="A101" t="str">
        <f>"echo """&amp;A4&amp;""""</f>
        <v>echo "# | Version TRANSFORMERS : 25/06/2020"</v>
      </c>
    </row>
    <row r="102" spans="1:1" x14ac:dyDescent="0.25">
      <c r="A102" t="str">
        <f t="shared" ref="A102:A104" si="0">"echo """&amp;A5&amp;""""</f>
        <v>echo "# | Version PARPRE : 10/04/2017"</v>
      </c>
    </row>
    <row r="103" spans="1:1" x14ac:dyDescent="0.25">
      <c r="A103" t="str">
        <f t="shared" si="0"/>
        <v>echo "# | Version EBO : 22/06/2020"</v>
      </c>
    </row>
    <row r="104" spans="1:1" x14ac:dyDescent="0.25">
      <c r="A104" t="str">
        <f t="shared" ca="1" si="0"/>
        <v>echo "# | Date creation  : 15/09/2020 10:03:00"</v>
      </c>
    </row>
    <row r="106" spans="1:1" x14ac:dyDescent="0.25">
      <c r="A106" t="s">
        <v>37</v>
      </c>
    </row>
    <row r="107" spans="1:1" x14ac:dyDescent="0.25">
      <c r="A107" t="s">
        <v>97</v>
      </c>
    </row>
    <row r="108" spans="1:1" x14ac:dyDescent="0.25">
      <c r="A108" t="s">
        <v>98</v>
      </c>
    </row>
    <row r="109" spans="1:1" x14ac:dyDescent="0.25">
      <c r="A109" t="s">
        <v>99</v>
      </c>
    </row>
    <row r="111" spans="1:1" x14ac:dyDescent="0.25">
      <c r="A111" t="s">
        <v>100</v>
      </c>
    </row>
    <row r="112" spans="1:1" x14ac:dyDescent="0.25">
      <c r="A112" t="s">
        <v>101</v>
      </c>
    </row>
    <row r="113" spans="1:1" x14ac:dyDescent="0.25">
      <c r="A113" t="s">
        <v>99</v>
      </c>
    </row>
    <row r="115" spans="1:1" x14ac:dyDescent="0.25">
      <c r="A115" t="s">
        <v>117</v>
      </c>
    </row>
    <row r="116" spans="1:1" x14ac:dyDescent="0.25">
      <c r="A116" t="s">
        <v>118</v>
      </c>
    </row>
    <row r="117" spans="1:1" x14ac:dyDescent="0.25">
      <c r="A117" t="s">
        <v>99</v>
      </c>
    </row>
    <row r="118" spans="1:1" x14ac:dyDescent="0.25">
      <c r="A118" t="s">
        <v>47</v>
      </c>
    </row>
    <row r="120" spans="1:1" x14ac:dyDescent="0.25">
      <c r="A120" t="s">
        <v>67</v>
      </c>
    </row>
    <row r="122" spans="1:1" x14ac:dyDescent="0.25">
      <c r="A122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103</v>
      </c>
    </row>
    <row r="4" spans="1:1" x14ac:dyDescent="0.25">
      <c r="A4" t="s">
        <v>71</v>
      </c>
    </row>
    <row r="5" spans="1:1" x14ac:dyDescent="0.25">
      <c r="A5" t="s">
        <v>72</v>
      </c>
    </row>
    <row r="6" spans="1:1" x14ac:dyDescent="0.25">
      <c r="A6" t="s">
        <v>73</v>
      </c>
    </row>
    <row r="7" spans="1:1" x14ac:dyDescent="0.25">
      <c r="A7" t="s">
        <v>74</v>
      </c>
    </row>
    <row r="8" spans="1:1" x14ac:dyDescent="0.25">
      <c r="A8" t="s">
        <v>75</v>
      </c>
    </row>
    <row r="9" spans="1:1" x14ac:dyDescent="0.25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s="3" t="s">
        <v>82</v>
      </c>
    </row>
    <row r="8" spans="1:1" x14ac:dyDescent="0.25">
      <c r="A8" s="3" t="s">
        <v>83</v>
      </c>
    </row>
    <row r="9" spans="1:1" x14ac:dyDescent="0.25">
      <c r="A9" s="3" t="s">
        <v>84</v>
      </c>
    </row>
    <row r="10" spans="1:1" x14ac:dyDescent="0.25">
      <c r="A10" s="3" t="s">
        <v>85</v>
      </c>
    </row>
    <row r="11" spans="1:1" x14ac:dyDescent="0.25">
      <c r="A11" s="3" t="s">
        <v>86</v>
      </c>
    </row>
    <row r="12" spans="1:1" x14ac:dyDescent="0.25">
      <c r="A12" s="3" t="s">
        <v>87</v>
      </c>
    </row>
    <row r="13" spans="1:1" x14ac:dyDescent="0.25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t="s">
        <v>89</v>
      </c>
    </row>
    <row r="8" spans="1:1" x14ac:dyDescent="0.25">
      <c r="A8" t="s">
        <v>90</v>
      </c>
    </row>
    <row r="9" spans="1:1" x14ac:dyDescent="0.25">
      <c r="A9" t="s">
        <v>87</v>
      </c>
    </row>
    <row r="10" spans="1:1" x14ac:dyDescent="0.25">
      <c r="A10" t="s">
        <v>86</v>
      </c>
    </row>
    <row r="11" spans="1:1" x14ac:dyDescent="0.25">
      <c r="A11" t="s">
        <v>84</v>
      </c>
    </row>
    <row r="12" spans="1:1" x14ac:dyDescent="0.25">
      <c r="A12" t="s">
        <v>85</v>
      </c>
    </row>
    <row r="13" spans="1:1" x14ac:dyDescent="0.25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21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6.42578125" style="27" bestFit="1" customWidth="1"/>
    <col min="2" max="2" width="8" style="27" bestFit="1" customWidth="1"/>
    <col min="3" max="3" width="9.5703125" style="27" bestFit="1" customWidth="1"/>
    <col min="6" max="6" width="91.85546875" bestFit="1" customWidth="1"/>
    <col min="7" max="7" width="15.7109375" bestFit="1" customWidth="1"/>
  </cols>
  <sheetData>
    <row r="1" spans="1: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26" t="s">
        <v>3</v>
      </c>
      <c r="G1" s="1" t="s">
        <v>4</v>
      </c>
      <c r="H1" s="5" t="s">
        <v>96</v>
      </c>
    </row>
    <row r="2" spans="1:8" x14ac:dyDescent="0.25">
      <c r="A2" s="27">
        <v>3</v>
      </c>
      <c r="B2" s="27" t="s">
        <v>107</v>
      </c>
      <c r="C2" s="27" t="s">
        <v>109</v>
      </c>
      <c r="D2" t="s">
        <v>125</v>
      </c>
      <c r="E2" t="s">
        <v>126</v>
      </c>
      <c r="F2" t="s">
        <v>129</v>
      </c>
      <c r="G2">
        <v>1</v>
      </c>
    </row>
    <row r="3" spans="1:8" x14ac:dyDescent="0.25">
      <c r="A3" s="27">
        <v>5</v>
      </c>
      <c r="B3" s="27" t="s">
        <v>107</v>
      </c>
      <c r="C3" s="27" t="s">
        <v>109</v>
      </c>
      <c r="D3" t="s">
        <v>125</v>
      </c>
      <c r="E3" t="s">
        <v>126</v>
      </c>
      <c r="F3" t="s">
        <v>131</v>
      </c>
      <c r="G3">
        <v>1</v>
      </c>
    </row>
    <row r="4" spans="1:8" x14ac:dyDescent="0.25">
      <c r="A4" s="27">
        <v>7</v>
      </c>
      <c r="B4" s="27" t="s">
        <v>107</v>
      </c>
      <c r="C4" s="27" t="s">
        <v>109</v>
      </c>
      <c r="D4" t="s">
        <v>125</v>
      </c>
      <c r="E4" t="s">
        <v>126</v>
      </c>
      <c r="F4" t="s">
        <v>133</v>
      </c>
      <c r="G4">
        <v>1</v>
      </c>
    </row>
    <row r="5" spans="1:8" x14ac:dyDescent="0.25">
      <c r="A5"/>
      <c r="B5"/>
      <c r="C5"/>
    </row>
    <row r="6" spans="1:8" x14ac:dyDescent="0.25">
      <c r="A6"/>
      <c r="B6"/>
      <c r="C6"/>
    </row>
    <row r="7" spans="1:8" x14ac:dyDescent="0.25">
      <c r="A7"/>
      <c r="B7"/>
      <c r="C7"/>
    </row>
    <row r="11" spans="1:8" x14ac:dyDescent="0.25">
      <c r="A11"/>
      <c r="B11"/>
      <c r="C11"/>
    </row>
    <row r="12" spans="1:8" x14ac:dyDescent="0.25">
      <c r="A12"/>
      <c r="B12"/>
      <c r="C12"/>
    </row>
    <row r="13" spans="1:8" x14ac:dyDescent="0.25">
      <c r="A13"/>
      <c r="B13"/>
      <c r="C13"/>
    </row>
    <row r="14" spans="1:8" x14ac:dyDescent="0.25">
      <c r="A14"/>
      <c r="B14"/>
      <c r="C14"/>
    </row>
    <row r="15" spans="1:8" x14ac:dyDescent="0.25">
      <c r="A15"/>
      <c r="B15"/>
      <c r="C15"/>
    </row>
    <row r="16" spans="1:8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5CE5F1-FB92-4980-BD92-F0EB5DFC60AA}">
  <ds:schemaRefs>
    <ds:schemaRef ds:uri="http://schemas.microsoft.com/sharepoint/v3"/>
    <ds:schemaRef ds:uri="081bcfd3-8243-49d0-a795-91f3d32c97ca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LOIEZ, Philippe</cp:lastModifiedBy>
  <dcterms:created xsi:type="dcterms:W3CDTF">2020-02-03T09:56:53Z</dcterms:created>
  <dcterms:modified xsi:type="dcterms:W3CDTF">2020-09-15T08:02:59Z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