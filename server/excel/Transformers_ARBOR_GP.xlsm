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7171\Download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4" i="2" l="1"/>
  <c r="A101" i="2" s="1"/>
  <c r="A6" i="2"/>
  <c r="A103" i="2" s="1"/>
  <c r="A5" i="2"/>
  <c r="A102" i="2" s="1"/>
  <c r="A104" i="2" l="1"/>
  <c r="N3" i="1" l="1"/>
  <c r="N2" i="1"/>
</calcChain>
</file>

<file path=xl/sharedStrings.xml><?xml version="1.0" encoding="utf-8"?>
<sst xmlns="http://schemas.openxmlformats.org/spreadsheetml/2006/main" count="1397" uniqueCount="400">
  <si>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</si>
  <si>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</si>
  <si>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</si>
  <si>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</si>
  <si>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</si>
  <si>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</si>
  <si>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</si>
  <si>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</si>
  <si>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</si>
  <si>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</si>
  <si>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</si>
  <si>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</si>
  <si>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</si>
  <si>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</si>
  <si>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</si>
  <si>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</si>
  <si>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</si>
  <si>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</si>
  <si>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</si>
  <si>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</si>
  <si>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</si>
  <si>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</si>
  <si>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</si>
  <si>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</si>
  <si>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</si>
  <si>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</si>
  <si>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</si>
  <si>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</si>
  <si>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</si>
  <si>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</si>
  <si>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</si>
  <si>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</si>
  <si>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</si>
  <si>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</si>
  <si>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</si>
  <si>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</si>
  <si>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</si>
  <si>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</si>
  <si>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</si>
  <si>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</si>
  <si>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</si>
  <si>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</si>
  <si>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</si>
  <si>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</si>
  <si>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</si>
  <si>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</si>
  <si>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</si>
  <si>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</si>
  <si>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</si>
  <si>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</si>
  <si>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</si>
  <si>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</si>
  <si>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</si>
  <si>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</si>
  <si>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</si>
  <si>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</si>
  <si>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</si>
  <si>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</si>
  <si>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</si>
  <si>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</si>
  <si>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</si>
  <si>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</si>
  <si>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</si>
  <si>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</si>
  <si>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</si>
  <si>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</si>
  <si>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</si>
  <si>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</si>
  <si>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</si>
  <si>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</si>
  <si>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</si>
  <si>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</si>
  <si>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</si>
  <si>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</si>
  <si>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</si>
  <si>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</si>
  <si>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</si>
  <si>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</si>
  <si>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</si>
  <si>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</si>
  <si>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</si>
  <si>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</si>
  <si>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</si>
  <si>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</si>
  <si>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</si>
  <si>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</si>
  <si>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</si>
  <si>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</si>
  <si>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</si>
  <si>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</si>
  <si>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</si>
  <si>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</si>
  <si>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</si>
  <si>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</si>
  <si>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</si>
  <si>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</si>
  <si>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</si>
  <si>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</si>
  <si>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</si>
  <si>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</si>
  <si>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</si>
  <si>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</si>
  <si>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</si>
  <si>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</si>
  <si>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</si>
  <si>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</si>
  <si>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x</t>
  </si>
  <si>
    <t>NOM_USER</t>
  </si>
  <si>
    <t>arb1pp0</t>
  </si>
  <si>
    <t>R</t>
  </si>
  <si>
    <t>C</t>
  </si>
  <si>
    <t>oracle</t>
  </si>
  <si>
    <t>V</t>
  </si>
  <si>
    <t>I</t>
  </si>
  <si>
    <t>A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</si>
  <si>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</si>
  <si>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</si>
  <si>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</si>
  <si>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</si>
  <si>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</si>
  <si>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</si>
  <si>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</si>
  <si>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</si>
  <si>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</si>
  <si>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</si>
  <si>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</si>
  <si>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APP0583_ARBOR_GP</t>
  </si>
  <si>
    <t>S. GOUIZAT / P. LOIEZ</t>
  </si>
  <si>
    <t>PBTB20P_CLI01</t>
  </si>
  <si>
    <t>$ORA_SCR/BDDoracle.ksh start -i $NOM_BDD1 -l</t>
  </si>
  <si>
    <t>sleep 30</t>
  </si>
  <si>
    <t>ps -ef | grep lsn | grep $NOM_BDD1| grep -v grep | wc -l</t>
  </si>
  <si>
    <t>ps -ef | grep pmon | grep $NOM_BDD1| grep -v grep | wc -l</t>
  </si>
  <si>
    <t>PBTB21P_CLI01</t>
  </si>
  <si>
    <t>$ORA_SCR/BDDoracle.ksh start -i $NOM_BDD2 -l</t>
  </si>
  <si>
    <t>ps -ef | grep lsn | grep $NOM_BDD2| grep -v grep | wc -l</t>
  </si>
  <si>
    <t>ps -ef | grep pmon | grep $NOM_BDD2| grep -v grep | wc -l</t>
  </si>
  <si>
    <t>PBTB22P_CLI01</t>
  </si>
  <si>
    <t>$ORA_SCR/BDDoracle.ksh start -i $NOM_BDD3 -l</t>
  </si>
  <si>
    <t>ps -ef | grep lsn | grep $NOM_BDD3| grep -v grep | wc -l</t>
  </si>
  <si>
    <t>ps -ef | grep pmon | grep $NOM_BDD3| grep -v grep | wc -l</t>
  </si>
  <si>
    <t>PBTB23P_CLI01</t>
  </si>
  <si>
    <t>$ORA_SCR/BDDoracle.ksh start -i $NOM_BDD4 -l</t>
  </si>
  <si>
    <t>ps -ef | grep lsn | grep $NOM_BDD4| grep -v grep | wc -l</t>
  </si>
  <si>
    <t>ps -ef | grep pmon | grep $NOM_BDD4| grep -v grep | wc -l</t>
  </si>
  <si>
    <t>PBTB24P_CLI01</t>
  </si>
  <si>
    <t>$ORA_SCR/BDDoracle.ksh start -i $NOM_BDD5 -l</t>
  </si>
  <si>
    <t>ps -ef | grep lsn | grep $NOM_BDD5| grep -v grep | wc -l</t>
  </si>
  <si>
    <t>ps -ef | grep pmon | grep $NOM_BDD5| grep -v grep | wc -l</t>
  </si>
  <si>
    <t>PBTB25P_CLI01</t>
  </si>
  <si>
    <t>$ORA_SCR/BDDoracle.ksh start -i $NOM_BDD6 -l</t>
  </si>
  <si>
    <t>ps -ef | grep lsn | grep $NOM_BDD6| grep -v grep | wc -l</t>
  </si>
  <si>
    <t>ps -ef | grep pmon | grep $NOM_BDD6| grep -v grep | wc -l</t>
  </si>
  <si>
    <t>PBTB26P_CLI01</t>
  </si>
  <si>
    <t>$ORA_SCR/BDDoracle.ksh start -i $NOM_BDD7 -l</t>
  </si>
  <si>
    <t>ps -ef | grep lsn | grep $NOM_BDD7| grep -v grep | wc -l</t>
  </si>
  <si>
    <t>ps -ef | grep pmon | grep $NOM_BDD7| grep -v grep | wc -l</t>
  </si>
  <si>
    <t>PBTB27P_CLI01</t>
  </si>
  <si>
    <t>$ORA_SCR/BDDoracle.ksh start -i $NOM_BDD8 -l</t>
  </si>
  <si>
    <t>ps -ef | grep lsn | grep $NOM_BDD8| grep -v grep | wc -l</t>
  </si>
  <si>
    <t>ps -ef | grep pmon | grep $NOM_BDD8| grep -v grep | wc -l</t>
  </si>
  <si>
    <t>PBTB28P_CLI01</t>
  </si>
  <si>
    <t>$ORA_SCR/BDDoracle.ksh start -i $NOM_BDD9 -l</t>
  </si>
  <si>
    <t>ps -ef | grep lsn | grep $NOM_BDD9| grep -v grep | wc -l</t>
  </si>
  <si>
    <t>ps -ef | grep pmon | grep $NOM_BDD9| grep -v grep | wc -l</t>
  </si>
  <si>
    <t>PBTB29P_CLI01</t>
  </si>
  <si>
    <t>$ORA_SCR/BDDoracle.ksh start -i $NOM_BDD10 -l</t>
  </si>
  <si>
    <t>ps -ef | grep lsn | grep $NOM_BDD10| grep -v grep | wc -l</t>
  </si>
  <si>
    <t>ps -ef | grep pmon | grep $NOM_BDD10| grep -v grep | wc -l</t>
  </si>
  <si>
    <t>c00app01</t>
  </si>
  <si>
    <t>$NOM_USER</t>
  </si>
  <si>
    <t>echo Hub</t>
  </si>
  <si>
    <t>/product/btb/appli/$NOM_USER/bin/rpe/shell_ordo/ordo_enc_s_lancer_tbs.ksh 10</t>
  </si>
  <si>
    <t>/product/btb/appli/$NOM_USER/bin/rpe/shell_ordo/ordo_enc_s_lancer_tbs.ksh 3</t>
  </si>
  <si>
    <t>/product/btb/appli/$NOM_USER/bin/rpe/shell_ordo/ordo_enc_s_lancer_tbs.ksh 4</t>
  </si>
  <si>
    <t>/product/btb/appli/$NOM_USER/bin/rpe/shell_ordo/ordo_enc_s_lancer_tbs.ksh 5</t>
  </si>
  <si>
    <t>/product/btb/appli/$NOM_USER/bin/rpe/shell_ordo/ordo_enc_s_lancer_tbs.ksh 6</t>
  </si>
  <si>
    <t>/product/btb/appli/$NOM_USER/bin/rpe/shell_ordo/ordo_enc_s_lancer_tbs.ksh 7</t>
  </si>
  <si>
    <t>/product/btb/appli/$NOM_USER/bin/rpe/shell_ordo/ordo_enc_s_lancer_tbs.ksh 8</t>
  </si>
  <si>
    <t>/product/btb/appli/$NOM_USER/bin/rpe/shell_ordo/ordo_enc_s_lancer_tbs.ksh 9</t>
  </si>
  <si>
    <t>/product/btb/appli/$NOM_USER/bin/rpe/shell_ordo/ordo_enc_s_lancer_thr.ksh 23</t>
  </si>
  <si>
    <t>/product/btb/appli/$NOM_USER/bin/rpe/shell_ordo/ordo_enc_s_lancer_thr.ksh 24</t>
  </si>
  <si>
    <t>/product/btb/appli/$NOM_USER/bin/rpe/shell_ordo/ordo_enc_s_lancer_thr.ksh 25</t>
  </si>
  <si>
    <t>/product/btb/appli/$NOM_USER/bin/rpe/shell_ordo/ordo_enc_s_lancer_thr.ksh 26</t>
  </si>
  <si>
    <t>/product/btb/appli/$NOM_USER/bin/rpe/shell_ordo/ordo_enc_s_lancer_thr.ksh 27</t>
  </si>
  <si>
    <t>/product/btb/appli/$NOM_USER/bin/rpe/shell_ordo/ordo_enc_s_lancer_thr.ksh 28</t>
  </si>
  <si>
    <t>/product/btb/appli/$NOM_USER/bin/rpe/shell_ordo/ordo_enc_s_lancer_thr.ksh 29</t>
  </si>
  <si>
    <t>/product/btb/appli/$NOM_USER/bin/rpe/shell_ordo/ordo_enc_s_lancer_thr.ksh 30</t>
  </si>
  <si>
    <t>/product/btb/appli/$NOM_USER/bin/rpe/shell_ordo/ordo_enc_s_lancer_ths.ksh 23</t>
  </si>
  <si>
    <t>/product/btb/appli/$NOM_USER/bin/rpe/shell_ordo/ordo_enc_s_lancer_ths.ksh 24</t>
  </si>
  <si>
    <t>/product/btb/appli/$NOM_USER/bin/rpe/shell_ordo/ordo_enc_s_lancer_ths.ksh 25</t>
  </si>
  <si>
    <t>/product/btb/appli/$NOM_USER/bin/rpe/shell_ordo/ordo_enc_s_lancer_ths.ksh 26</t>
  </si>
  <si>
    <t>/product/btb/appli/$NOM_USER/bin/rpe/shell_ordo/ordo_enc_s_lancer_ths.ksh 27</t>
  </si>
  <si>
    <t>/product/btb/appli/$NOM_USER/bin/rpe/shell_ordo/ordo_enc_s_lancer_ths.ksh 28</t>
  </si>
  <si>
    <t>/product/btb/appli/$NOM_USER/bin/rpe/shell_ordo/ordo_enc_s_lancer_ths.ksh 29</t>
  </si>
  <si>
    <t>/product/btb/appli/$NOM_USER/bin/rpe/shell_ordo/ordo_enc_s_lancer_ths.ksh 30</t>
  </si>
  <si>
    <t>/product/btb/appli/$NOM_USER/bin/rpe/shell_ordo/ordo_enc_s_lancer_thsu.ksh 23</t>
  </si>
  <si>
    <t>/product/btb/appli/$NOM_USER/bin/rpe/shell_ordo/ordo_enc_s_lancer_thsu.ksh 24</t>
  </si>
  <si>
    <t>/product/btb/appli/$NOM_USER/bin/rpe/shell_ordo/ordo_enc_s_lancer_thsu.ksh 25</t>
  </si>
  <si>
    <t>/product/btb/appli/$NOM_USER/bin/rpe/shell_ordo/ordo_enc_s_lancer_thsu.ksh 26</t>
  </si>
  <si>
    <t>/product/btb/appli/$NOM_USER/bin/rpe/shell_ordo/ordo_enc_s_lancer_thsu.ksh 27</t>
  </si>
  <si>
    <t>/product/btb/appli/$NOM_USER/bin/rpe/shell_ordo/ordo_enc_s_lancer_thsu.ksh 28</t>
  </si>
  <si>
    <t>/product/btb/appli/$NOM_USER/bin/rpe/shell_ordo/ordo_enc_s_lancer_thsu.ksh 29</t>
  </si>
  <si>
    <t>/product/btb/appli/$NOM_USER/bin/rpe/shell_ordo/ordo_enc_s_lancer_thsu.ksh 30</t>
  </si>
  <si>
    <t>/product/btb/appli/$NOM_USER/bin/rpe/shell_ordo/ordo_exp_c_admin_arm.ksh START</t>
  </si>
  <si>
    <t>/product/btb/appli/$NOM_USER/bin/rpe/shell_ordo/ordo_val_s_lancer_cpu.ksh 10</t>
  </si>
  <si>
    <t>/product/btb/appli/$NOM_USER/bin/rpe/shell_ordo/ordo_val_s_lancer_cpu.ksh 3</t>
  </si>
  <si>
    <t>/product/btb/appli/$NOM_USER/bin/rpe/shell_ordo/ordo_val_s_lancer_cpu.ksh 4</t>
  </si>
  <si>
    <t>/product/btb/appli/$NOM_USER/bin/rpe/shell_ordo/ordo_val_s_lancer_cpu.ksh 5</t>
  </si>
  <si>
    <t>/product/btb/appli/$NOM_USER/bin/rpe/shell_ordo/ordo_val_s_lancer_cpu.ksh 6</t>
  </si>
  <si>
    <t>/product/btb/appli/$NOM_USER/bin/rpe/shell_ordo/ordo_val_s_lancer_cpu.ksh 7</t>
  </si>
  <si>
    <t>/product/btb/appli/$NOM_USER/bin/rpe/shell_ordo/ordo_val_s_lancer_cpu.ksh 8</t>
  </si>
  <si>
    <t>/product/btb/appli/$NOM_USER/bin/rpe/shell_ordo/ordo_val_s_lancer_cpu.ksh 9</t>
  </si>
  <si>
    <t>JBOSS_m</t>
  </si>
  <si>
    <t>/product/btb/appli/$NOM_USER/bin/rpe/shell_ordo/ordo_exp_c_admin_jboss.ksh 2</t>
  </si>
  <si>
    <t>JBOSS_s1</t>
  </si>
  <si>
    <t>JBOSS_s2</t>
  </si>
  <si>
    <t>JBOSS_s3</t>
  </si>
  <si>
    <t>/product/btb/appli/$NOM_USER/bin/rpe/shell_ordo/ordo_fac_s_lancer_ltp.ksh 10</t>
  </si>
  <si>
    <t>/product/btb/appli/$NOM_USER/bin/rpe/shell_ordo/ordo_fac_m_lancer_ltp.ksh 2</t>
  </si>
  <si>
    <t>/product/btb/appli/$NOM_USER/bin/rpe/shell_ordo/ordo_fac_s_lancer_ltp.ksh 3</t>
  </si>
  <si>
    <t>/product/btb/appli/$NOM_USER/bin/rpe/shell_ordo/ordo_fac_s_lancer_ltp.ksh 4</t>
  </si>
  <si>
    <t>/product/btb/appli/$NOM_USER/bin/rpe/shell_ordo/ordo_fac_s_lancer_ltp.ksh 5</t>
  </si>
  <si>
    <t>/product/btb/appli/$NOM_USER/bin/rpe/shell_ordo/ordo_fac_s_lancer_ltp.ksh 6</t>
  </si>
  <si>
    <t>/product/btb/appli/$NOM_USER/bin/rpe/shell_ordo/ordo_fac_s_lancer_ltp.ksh 7</t>
  </si>
  <si>
    <t>/product/btb/appli/$NOM_USER/bin/rpe/shell_ordo/ordo_fac_s_lancer_ltp.ksh 8</t>
  </si>
  <si>
    <t>/product/btb/appli/$NOM_USER/bin/rpe/shell_ordo/ordo_fac_s_lancer_ltp.ksh 9</t>
  </si>
  <si>
    <t>/product/btb/appli/$NOM_USER/bin/rpe/shell_ordo/ordo_val_s_lancer_rpu.ksh 10</t>
  </si>
  <si>
    <t>/product/btb/appli/$NOM_USER/bin/rpe/shell_ordo/ordo_val_s_lancer_rpu.ksh 3</t>
  </si>
  <si>
    <t>/product/btb/appli/$NOM_USER/bin/rpe/shell_ordo/ordo_val_s_lancer_rpu.ksh 4</t>
  </si>
  <si>
    <t>/product/btb/appli/$NOM_USER/bin/rpe/shell_ordo/ordo_val_s_lancer_rpu.ksh 5</t>
  </si>
  <si>
    <t>/product/btb/appli/$NOM_USER/bin/rpe/shell_ordo/ordo_val_s_lancer_rpu.ksh 6</t>
  </si>
  <si>
    <t>/product/btb/appli/$NOM_USER/bin/rpe/shell_ordo/ordo_val_s_lancer_rpu.ksh 7</t>
  </si>
  <si>
    <t>/product/btb/appli/$NOM_USER/bin/rpe/shell_ordo/ordo_val_s_lancer_rpu.ksh 8</t>
  </si>
  <si>
    <t>/product/btb/appli/$NOM_USER/bin/rpe/shell_ordo/ordo_val_s_lancer_rpu.ksh 9</t>
  </si>
  <si>
    <t>/product/btb/appli/$NOM_USER/bin/rpe/shell_ordo/ordo_exp_c_admin_security.ksh 3</t>
  </si>
  <si>
    <t>/product/btb/appli/$NOM_USER/bin/rpe/shell_ordo/ordo_exp_c_admin_security.ksh 4</t>
  </si>
  <si>
    <t>Ur_nr0u0685</t>
  </si>
  <si>
    <t>eaiadmin</t>
  </si>
  <si>
    <t>/appli/eai/bin/arbor.sh start</t>
  </si>
  <si>
    <t>/appli/eai/bin/arbor.sh stop</t>
  </si>
  <si>
    <t>/product/btb/appli/$NOM_USER/bin/rpe/shell_ordo/ordo_enc_s_arreter_tbs.ksh 10</t>
  </si>
  <si>
    <t>/product/btb/appli/$NOM_USER/bin/rpe/shell_ordo/ordo_enc_s_arreter_tbs.ksh 3</t>
  </si>
  <si>
    <t>/product/btb/appli/$NOM_USER/bin/rpe/shell_ordo/ordo_enc_s_arreter_tbs.ksh 4</t>
  </si>
  <si>
    <t>/product/btb/appli/$NOM_USER/bin/rpe/shell_ordo/ordo_enc_s_arreter_tbs.ksh 5</t>
  </si>
  <si>
    <t>/product/btb/appli/$NOM_USER/bin/rpe/shell_ordo/ordo_enc_s_arreter_tbs.ksh 6</t>
  </si>
  <si>
    <t>/product/btb/appli/$NOM_USER/bin/rpe/shell_ordo/ordo_enc_s_arreter_tbs.ksh 7</t>
  </si>
  <si>
    <t>/product/btb/appli/$NOM_USER/bin/rpe/shell_ordo/ordo_enc_s_arreter_tbs.ksh 8</t>
  </si>
  <si>
    <t>/product/btb/appli/$NOM_USER/bin/rpe/shell_ordo/ordo_enc_s_arreter_tbs.ksh 9</t>
  </si>
  <si>
    <t>/product/btb/appli/$NOM_USER/bin/rpe/shell_ordo/ordo_enc_s_arreter_thr.ksh 23</t>
  </si>
  <si>
    <t>/product/btb/appli/$NOM_USER/bin/rpe/shell_ordo/ordo_enc_s_arreter_thr.ksh 24</t>
  </si>
  <si>
    <t>/product/btb/appli/$NOM_USER/bin/rpe/shell_ordo/ordo_enc_s_arreter_thr.ksh 25</t>
  </si>
  <si>
    <t>/product/btb/appli/$NOM_USER/bin/rpe/shell_ordo/ordo_enc_s_arreter_thr.ksh 26</t>
  </si>
  <si>
    <t>/product/btb/appli/$NOM_USER/bin/rpe/shell_ordo/ordo_enc_s_arreter_thr.ksh 27</t>
  </si>
  <si>
    <t>/product/btb/appli/$NOM_USER/bin/rpe/shell_ordo/ordo_enc_s_arreter_thr.ksh 28</t>
  </si>
  <si>
    <t>/product/btb/appli/$NOM_USER/bin/rpe/shell_ordo/ordo_enc_s_arreter_thr.ksh 29</t>
  </si>
  <si>
    <t>/product/btb/appli/$NOM_USER/bin/rpe/shell_ordo/ordo_enc_s_arreter_thr.ksh 30</t>
  </si>
  <si>
    <t>/product/btb/appli/$NOM_USER/bin/rpe/shell_ordo/ordo_enc_s_arreter_ths.ksh 23</t>
  </si>
  <si>
    <t>/product/btb/appli/$NOM_USER/bin/rpe/shell_ordo/ordo_enc_s_arreter_ths.ksh 24</t>
  </si>
  <si>
    <t>/product/btb/appli/$NOM_USER/bin/rpe/shell_ordo/ordo_enc_s_arreter_ths.ksh 25</t>
  </si>
  <si>
    <t>/product/btb/appli/$NOM_USER/bin/rpe/shell_ordo/ordo_enc_s_arreter_ths.ksh 26</t>
  </si>
  <si>
    <t>/product/btb/appli/$NOM_USER/bin/rpe/shell_ordo/ordo_enc_s_arreter_ths.ksh 27</t>
  </si>
  <si>
    <t>/product/btb/appli/$NOM_USER/bin/rpe/shell_ordo/ordo_enc_s_arreter_ths.ksh 28</t>
  </si>
  <si>
    <t>/product/btb/appli/$NOM_USER/bin/rpe/shell_ordo/ordo_enc_s_arreter_ths.ksh 29</t>
  </si>
  <si>
    <t>/product/btb/appli/$NOM_USER/bin/rpe/shell_ordo/ordo_enc_s_arreter_ths.ksh 30</t>
  </si>
  <si>
    <t>/product/btb/appli/$NOM_USER/bin/rpe/shell_ordo/ordo_enc_s_arreter_thsu.ksh 23</t>
  </si>
  <si>
    <t>/product/btb/appli/$NOM_USER/bin/rpe/shell_ordo/ordo_enc_s_arreter_thsu.ksh 24</t>
  </si>
  <si>
    <t>/product/btb/appli/$NOM_USER/bin/rpe/shell_ordo/ordo_enc_s_arreter_thsu.ksh 25</t>
  </si>
  <si>
    <t>/product/btb/appli/$NOM_USER/bin/rpe/shell_ordo/ordo_enc_s_arreter_thsu.ksh 26</t>
  </si>
  <si>
    <t>/product/btb/appli/$NOM_USER/bin/rpe/shell_ordo/ordo_enc_s_arreter_thsu.ksh 27</t>
  </si>
  <si>
    <t>/product/btb/appli/$NOM_USER/bin/rpe/shell_ordo/ordo_enc_s_arreter_thsu.ksh 28</t>
  </si>
  <si>
    <t>/product/btb/appli/$NOM_USER/bin/rpe/shell_ordo/ordo_enc_s_arreter_thsu.ksh 29</t>
  </si>
  <si>
    <t>/product/btb/appli/$NOM_USER/bin/rpe/shell_ordo/ordo_enc_s_arreter_thsu.ksh 30</t>
  </si>
  <si>
    <t>/product/btb/appli/$NOM_USER/bin/rpe/shell_ordo/ordo_exp_c_admin_arm.ksh STOP</t>
  </si>
  <si>
    <t>/product/btb/appli/$NOM_USER/bin/rpe/shell_ordo/ordo_val_s_arreter_cpu.ksh 10</t>
  </si>
  <si>
    <t>/product/btb/appli/$NOM_USER/bin/rpe/shell_ordo/ordo_val_s_arreter_cpu.ksh 3</t>
  </si>
  <si>
    <t>/product/btb/appli/$NOM_USER/bin/rpe/shell_ordo/ordo_val_s_arreter_cpu.ksh 4</t>
  </si>
  <si>
    <t>/product/btb/appli/$NOM_USER/bin/rpe/shell_ordo/ordo_val_s_arreter_cpu.ksh 5</t>
  </si>
  <si>
    <t>/product/btb/appli/$NOM_USER/bin/rpe/shell_ordo/ordo_val_s_arreter_cpu.ksh 6</t>
  </si>
  <si>
    <t>/product/btb/appli/$NOM_USER/bin/rpe/shell_ordo/ordo_val_s_arreter_cpu.ksh 7</t>
  </si>
  <si>
    <t>/product/btb/appli/$NOM_USER/bin/rpe/shell_ordo/ordo_val_s_arreter_cpu.ksh 8</t>
  </si>
  <si>
    <t>/product/btb/appli/$NOM_USER/bin/rpe/shell_ordo/ordo_val_s_arreter_cpu.ksh 9</t>
  </si>
  <si>
    <t>/product/btb/appli/$NOM_USER/bin/rpe/shell_ordo/ordo_exp_c_admin_jboss.ksh 1</t>
  </si>
  <si>
    <t>/product/btb/appli/$NOM_USER/bin/rpe/shell_ordo/ordo_fac_s_arreter_ltp.ksh 10</t>
  </si>
  <si>
    <t>/product/btb/appli/$NOM_USER/bin/rpe/shell_ordo/ordo_fac_m_arreter_ltp.ksh 2</t>
  </si>
  <si>
    <t>/product/btb/appli/$NOM_USER/bin/rpe/shell_ordo/ordo_fac_s_arreter_ltp.ksh 3</t>
  </si>
  <si>
    <t>/product/btb/appli/$NOM_USER/bin/rpe/shell_ordo/ordo_fac_s_arreter_ltp.ksh 4</t>
  </si>
  <si>
    <t>/product/btb/appli/$NOM_USER/bin/rpe/shell_ordo/ordo_fac_s_arreter_ltp.ksh 5</t>
  </si>
  <si>
    <t>/product/btb/appli/$NOM_USER/bin/rpe/shell_ordo/ordo_fac_s_arreter_ltp.ksh 6</t>
  </si>
  <si>
    <t>/product/btb/appli/$NOM_USER/bin/rpe/shell_ordo/ordo_fac_s_arreter_ltp.ksh 7</t>
  </si>
  <si>
    <t>/product/btb/appli/$NOM_USER/bin/rpe/shell_ordo/ordo_fac_s_arreter_ltp.ksh 8</t>
  </si>
  <si>
    <t>/product/btb/appli/$NOM_USER/bin/rpe/shell_ordo/ordo_fac_s_arreter_ltp.ksh 9</t>
  </si>
  <si>
    <t>/product/btb/appli/$NOM_USER/bin/rpe/shell_ordo/ordo_val_s_arreter_rpu.ksh 10</t>
  </si>
  <si>
    <t>/product/btb/appli/$NOM_USER/bin/rpe/shell_ordo/ordo_val_s_arreter_rpu.ksh 3</t>
  </si>
  <si>
    <t>/product/btb/appli/$NOM_USER/bin/rpe/shell_ordo/ordo_val_s_arreter_rpu.ksh 4</t>
  </si>
  <si>
    <t>/product/btb/appli/$NOM_USER/bin/rpe/shell_ordo/ordo_val_s_arreter_rpu.ksh 5</t>
  </si>
  <si>
    <t>/product/btb/appli/$NOM_USER/bin/rpe/shell_ordo/ordo_val_s_arreter_rpu.ksh 6</t>
  </si>
  <si>
    <t>/product/btb/appli/$NOM_USER/bin/rpe/shell_ordo/ordo_val_s_arreter_rpu.ksh 7</t>
  </si>
  <si>
    <t>/product/btb/appli/$NOM_USER/bin/rpe/shell_ordo/ordo_val_s_arreter_rpu.ksh 8</t>
  </si>
  <si>
    <t>/product/btb/appli/$NOM_USER/bin/rpe/shell_ordo/ordo_val_s_arreter_rpu.ksh 9</t>
  </si>
  <si>
    <t>/product/btb/appli/$NOM_USER/bin/rpe/shell_ordo/ordo_exp_c_admin_security.ksh 1</t>
  </si>
  <si>
    <t>/product/btb/appli/$NOM_USER/bin/rpe/shell_ordo/ordo_exp_c_admin_security.ksh 2</t>
  </si>
  <si>
    <t>$ORA_SCR/BDDoracle.ksh stop -i $NOM_BDD1 -l</t>
  </si>
  <si>
    <t>$ORA_SCR/BDDoracle.ksh stop -i $NOM_BDD2 -l</t>
  </si>
  <si>
    <t>$ORA_SCR/BDDoracle.ksh stop -i $NOM_BDD3 -l</t>
  </si>
  <si>
    <t>$ORA_SCR/BDDoracle.ksh stop -i $NOM_BDD4 -l</t>
  </si>
  <si>
    <t>$ORA_SCR/BDDoracle.ksh stop -i $NOM_BDD5 -l</t>
  </si>
  <si>
    <t>$ORA_SCR/BDDoracle.ksh stop -i $NOM_BDD6 -l</t>
  </si>
  <si>
    <t>$ORA_SCR/BDDoracle.ksh stop -i $NOM_BDD7 -l</t>
  </si>
  <si>
    <t>$ORA_SCR/BDDoracle.ksh stop -i $NOM_BDD8 -l</t>
  </si>
  <si>
    <t>$ORA_SCR/BDDoracle.ksh stop -i $NOM_BDD9 -l</t>
  </si>
  <si>
    <t>$ORA_SCR/BDDoracle.ksh stop -i $NOM_BDD10 -l</t>
  </si>
  <si>
    <t>c00app01.services.prod</t>
  </si>
  <si>
    <t>su14726</t>
  </si>
  <si>
    <t>su15007</t>
  </si>
  <si>
    <t>su50102</t>
  </si>
  <si>
    <t>su15008</t>
  </si>
  <si>
    <t>su14727</t>
  </si>
  <si>
    <t>su15009</t>
  </si>
  <si>
    <t>su15010</t>
  </si>
  <si>
    <t>pbtb20p0.services.prod</t>
  </si>
  <si>
    <t>pbtb21p0.services.prod</t>
  </si>
  <si>
    <t>pbtb22p0.services.prod</t>
  </si>
  <si>
    <t>pbtb23p0.services.prod</t>
  </si>
  <si>
    <t>pbtb24p0.services.prod</t>
  </si>
  <si>
    <t>pbtb25p0.services.prod</t>
  </si>
  <si>
    <t>pbtb26p0.services.prod</t>
  </si>
  <si>
    <t>pbtb27p0.services.prod</t>
  </si>
  <si>
    <t>pbtb28p0.services.prod</t>
  </si>
  <si>
    <t>pbtb29p0.services.prod</t>
  </si>
  <si>
    <t>su10766</t>
  </si>
  <si>
    <t>su10766fct0</t>
  </si>
  <si>
    <t>su10794</t>
  </si>
  <si>
    <t>su11298</t>
  </si>
  <si>
    <t>su11298fct0</t>
  </si>
  <si>
    <t>su10765</t>
  </si>
  <si>
    <t>su11358</t>
  </si>
  <si>
    <t>su11358fct0</t>
  </si>
  <si>
    <t>su11087</t>
  </si>
  <si>
    <t>su11366</t>
  </si>
  <si>
    <t>su11366fct0</t>
  </si>
  <si>
    <t>su12780</t>
  </si>
  <si>
    <t>svg133-979</t>
  </si>
  <si>
    <t>su15064</t>
  </si>
  <si>
    <t>nr0u0685e0.cbv.it.ld</t>
  </si>
  <si>
    <t>nr0u0715e0.vnx.it.ld</t>
  </si>
  <si>
    <t>su15086</t>
  </si>
  <si>
    <t>NOM_BDD1</t>
  </si>
  <si>
    <t>PBTB20P0</t>
  </si>
  <si>
    <t>KBTB20P0</t>
  </si>
  <si>
    <t>NOM_BDD2</t>
  </si>
  <si>
    <t>PBTB21P0</t>
  </si>
  <si>
    <t>KBTB21P0</t>
  </si>
  <si>
    <t>NOM_BDD3</t>
  </si>
  <si>
    <t>PBTB22P0</t>
  </si>
  <si>
    <t>KBTB22P0</t>
  </si>
  <si>
    <t>NOM_BDD4</t>
  </si>
  <si>
    <t>PBTB23P0</t>
  </si>
  <si>
    <t>KBTB23P0</t>
  </si>
  <si>
    <t>NOM_BDD5</t>
  </si>
  <si>
    <t>PBTB24P0</t>
  </si>
  <si>
    <t>KBTB24P0</t>
  </si>
  <si>
    <t>NOM_BDD6</t>
  </si>
  <si>
    <t>PBTB25P0</t>
  </si>
  <si>
    <t>KBTB25P0</t>
  </si>
  <si>
    <t>NOM_BDD7</t>
  </si>
  <si>
    <t>PBTB26P0</t>
  </si>
  <si>
    <t>KBTB26P0</t>
  </si>
  <si>
    <t>NOM_BDD8</t>
  </si>
  <si>
    <t>PBTB27P0</t>
  </si>
  <si>
    <t>KBTB27P0</t>
  </si>
  <si>
    <t>NOM_BDD9</t>
  </si>
  <si>
    <t>PBTB28P0</t>
  </si>
  <si>
    <t>KBTB28P0</t>
  </si>
  <si>
    <t>NOM_BDD10</t>
  </si>
  <si>
    <t>PBTB29P0</t>
  </si>
  <si>
    <t>KBTB29P0</t>
  </si>
  <si>
    <t>arb2pb0</t>
  </si>
  <si>
    <t>su15063</t>
  </si>
  <si>
    <t>cd /product/btb/appli/$NOM_USER/conf; ww</t>
  </si>
  <si>
    <t>timeout 240</t>
  </si>
  <si>
    <t>/product/btb/appli/$NOM_USER/bin/rpe/shell_ordo/ordo_enc_s_lancer_thsu.ksh 31 =&gt; pas utilisé</t>
  </si>
  <si>
    <t>/product/btb/appli/$NOM_USER/bin/rpe/shell_ordo/ordo_enc_s_lancer_ths.ksh 31 =&gt; pas utilisé</t>
  </si>
  <si>
    <t>/product/btb/appli/$NOM_USER/bin/rpe/shell_ordo/ordo_enc_s_arreter_ths.ksh 31 =&gt; pas utilisé</t>
  </si>
  <si>
    <t>/product/btb/appli/$NOM_USER/bin/rpe/shell_ordo/ordo_enc_s_arreter_thsu.ksh 31 =&gt; pas utilisé</t>
  </si>
  <si>
    <t>/product/btb/appli/$NOM_USER/bin/rpe/shell_ordo/ordo_fac_s_lancer_ltp.ksh 11 =&gt; pas utilisé</t>
  </si>
  <si>
    <t>/product/btb/appli/$NOM_USER/bin/rpe/shell_ordo/ordo_enc_s_lancer_tbs.ksh 11 =&gt; pas utilisé</t>
  </si>
  <si>
    <t>/product/btb/appli/$NOM_USER/bin/rpe/shell_ordo/ordo_fac_s_arreter_ltp.ksh 11 =&gt; pas utilisé</t>
  </si>
  <si>
    <t>/product/btb/appli/$NOM_USER/bin/rpe/shell_ordo/ordo_enc_s_arreter_tbs.ksh 11 =&gt; pas utilisé</t>
  </si>
  <si>
    <t>/product/btb/appli/$NOM_USER/bin/rpe/shell_ordo/ordo_enc_s_arreter_thr.ksh 31 =&gt; pas utilisé</t>
  </si>
  <si>
    <t>/product/btb/appli/$NOM_USER/bin/rpe/shell_ordo/ordo_val_s_arreter_cpu.ksh 11 =&gt; pas utilisé</t>
  </si>
  <si>
    <t>/product/btb/appli/$NOM_USER/bin/rpe/shell_ordo/ordo_val_s_arreter_rpu.ksh 11 =&gt; pas utilisé</t>
  </si>
  <si>
    <t>/product/btb/appli/$NOM_USER/bin/rpe/shell_ordo/ordo_val_s_lancer_rpu.ksh 11 =&gt; pas utilisé</t>
  </si>
  <si>
    <t>/product/btb/appli/$NOM_USER/bin/rpe/shell_ordo/ordo_val_s_lancer_cpu.ksh 11 =&gt; pas utilisé</t>
  </si>
  <si>
    <t>/product/btb/appli/$NOM_USER/bin/rpe/shell_ordo/ordo_enc_s_lancer_thr.ksh 31 =&gt; pas utilisé</t>
  </si>
  <si>
    <t>/product/btb/appli/$NOM_USER/bin/rpe/shell_ordo/ordo_exp_c_admin_jboss.ksh 2 =&gt; serveur de spare</t>
  </si>
  <si>
    <t>Vérifier résultat de la commande : TomCAT:1 sur 1 ARM:45 sur 45 RPU:8 sur 8   LTP:9 sur 9  TBS:8 sur 8  THR:8 sur 8  THS:8 sur 8  THSU:8 sur 8  SEC:1 sur 1</t>
  </si>
  <si>
    <t>Vérifier résultat de la commande : TomCAT:0 sur 1 ARM:0 sur 45 RPU:0 sur 8 LTP:0 sur 9 TBS:0 sur 8 THR:0 sur 8 THS:0 sur 8 THSU:0 sur 8 SEC:0 sur 1</t>
  </si>
  <si>
    <t>/product/btb/appli/$NOM_USER/bin/rpe/shell_ordo/ordo_exp_c_admin_jboss.ksh 1 =&gt; serveur de spare</t>
  </si>
  <si>
    <t>sleep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</si>
</sst>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5" fillId="0" borderId="0" xfId="0" applyFont="1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0" xfId="0" applyFill="1"/>
    <xf numFmtId="0" fontId="0" fillId="3" borderId="0" xfId="0" applyFill="1" applyBorder="1" applyAlignment="1"/>
    <xf numFmtId="0" fontId="0" fillId="3" borderId="0" xfId="0" applyFill="1"/>
    <xf numFmtId="0" fontId="6" fillId="0" borderId="0" xfId="0" applyFont="1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221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16" customWidth="1"/>
    <col min="6" max="6" width="110.7109375" style="16" customWidth="1"/>
    <col min="7" max="7" width="15.7109375" style="17" bestFit="1" customWidth="1"/>
    <col min="8" max="9" width="11.42578125" style="11"/>
    <col min="10" max="12" width="11.42578125" style="8"/>
    <col min="13" max="14" width="19.7109375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126</v>
      </c>
      <c r="O1" s="2" t="s">
        <v>92</v>
      </c>
      <c r="P1" s="4" t="s">
        <v>127</v>
      </c>
      <c r="Q1" s="2" t="s">
        <v>115</v>
      </c>
      <c r="R1" s="9">
        <v>43605</v>
      </c>
    </row>
    <row r="2" spans="1:18" x14ac:dyDescent="0.25">
      <c r="A2" s="20">
        <v>1</v>
      </c>
      <c r="B2" s="20" t="s">
        <v>109</v>
      </c>
      <c r="C2" s="20" t="s">
        <v>113</v>
      </c>
      <c r="D2" t="s">
        <v>128</v>
      </c>
      <c r="E2" s="21" t="s">
        <v>111</v>
      </c>
      <c r="F2" s="21" t="s">
        <v>129</v>
      </c>
      <c r="G2" s="22"/>
      <c r="H2" s="23" t="s">
        <v>130</v>
      </c>
      <c r="I2" s="15" t="s">
        <v>91</v>
      </c>
      <c r="M2" s="12" t="s">
        <v>7</v>
      </c>
      <c r="N2" s="13">
        <f>SUMPRODUCT((B:B="A")*(C:C="C"))+SUMPRODUCT((B:B="A")*(C:C="V"))</f>
        <v>69</v>
      </c>
      <c r="O2" s="2" t="s">
        <v>117</v>
      </c>
      <c r="P2" s="9">
        <v>44007</v>
      </c>
      <c r="Q2" s="2" t="s">
        <v>116</v>
      </c>
      <c r="R2" s="9">
        <v>43789</v>
      </c>
    </row>
    <row r="3" spans="1:18" x14ac:dyDescent="0.25">
      <c r="A3" s="20">
        <v>2</v>
      </c>
      <c r="B3" s="20" t="s">
        <v>109</v>
      </c>
      <c r="C3" s="20" t="s">
        <v>113</v>
      </c>
      <c r="D3" t="s">
        <v>128</v>
      </c>
      <c r="E3" s="21" t="s">
        <v>111</v>
      </c>
      <c r="F3" s="21" t="s">
        <v>131</v>
      </c>
      <c r="G3" s="22">
        <v>2</v>
      </c>
      <c r="H3" s="23"/>
      <c r="I3" s="15" t="s">
        <v>93</v>
      </c>
      <c r="M3" s="14" t="s">
        <v>8</v>
      </c>
      <c r="N3" s="13">
        <f>SUMPRODUCT((B:B="R")*(C:C="C"))+SUMPRODUCT((B:B="R")*(C:C="V"))</f>
        <v>69</v>
      </c>
    </row>
    <row r="4" spans="1:18" x14ac:dyDescent="0.25">
      <c r="A4" s="20">
        <v>3</v>
      </c>
      <c r="B4" s="20" t="s">
        <v>109</v>
      </c>
      <c r="C4" s="20" t="s">
        <v>113</v>
      </c>
      <c r="D4" t="s">
        <v>128</v>
      </c>
      <c r="E4" s="21" t="s">
        <v>111</v>
      </c>
      <c r="F4" s="21" t="s">
        <v>132</v>
      </c>
      <c r="G4" s="22">
        <v>1</v>
      </c>
      <c r="H4" s="23"/>
      <c r="I4" s="11" t="s">
        <v>94</v>
      </c>
      <c r="M4" s="12" t="s">
        <v>9</v>
      </c>
      <c r="N4" s="12" t="s">
        <v>10</v>
      </c>
      <c r="O4" s="12" t="s">
        <v>119</v>
      </c>
      <c r="P4" s="12" t="s">
        <v>118</v>
      </c>
    </row>
    <row r="5" spans="1:18" x14ac:dyDescent="0.25">
      <c r="A5" s="20">
        <v>4</v>
      </c>
      <c r="B5" s="20" t="s">
        <v>109</v>
      </c>
      <c r="C5" s="20" t="s">
        <v>113</v>
      </c>
      <c r="D5" t="s">
        <v>133</v>
      </c>
      <c r="E5" s="21" t="s">
        <v>111</v>
      </c>
      <c r="F5" s="21" t="s">
        <v>134</v>
      </c>
      <c r="G5" s="22"/>
      <c r="H5" s="23" t="s">
        <v>130</v>
      </c>
      <c r="I5" s="11" t="s">
        <v>102</v>
      </c>
      <c r="M5" s="25" t="s">
        <v>169</v>
      </c>
      <c r="N5" s="25" t="s">
        <v>312</v>
      </c>
      <c r="O5" s="25" t="s">
        <v>313</v>
      </c>
      <c r="P5" s="25"/>
    </row>
    <row r="6" spans="1:18" x14ac:dyDescent="0.25">
      <c r="A6" s="20">
        <v>5</v>
      </c>
      <c r="B6" s="20" t="s">
        <v>109</v>
      </c>
      <c r="C6" s="20" t="s">
        <v>113</v>
      </c>
      <c r="D6" t="s">
        <v>133</v>
      </c>
      <c r="E6" s="21" t="s">
        <v>111</v>
      </c>
      <c r="F6" s="21" t="s">
        <v>135</v>
      </c>
      <c r="G6" s="22">
        <v>2</v>
      </c>
      <c r="H6" s="23"/>
      <c r="M6" s="25" t="s">
        <v>213</v>
      </c>
      <c r="N6" s="25" t="s">
        <v>314</v>
      </c>
      <c r="O6" s="25" t="s">
        <v>315</v>
      </c>
      <c r="P6" s="25"/>
    </row>
    <row r="7" spans="1:18" x14ac:dyDescent="0.25">
      <c r="A7" s="20">
        <v>6</v>
      </c>
      <c r="B7" s="20" t="s">
        <v>109</v>
      </c>
      <c r="C7" s="20" t="s">
        <v>113</v>
      </c>
      <c r="D7" t="s">
        <v>133</v>
      </c>
      <c r="E7" s="21" t="s">
        <v>111</v>
      </c>
      <c r="F7" s="21" t="s">
        <v>136</v>
      </c>
      <c r="G7" s="22">
        <v>1</v>
      </c>
      <c r="H7" s="23"/>
      <c r="M7" s="25" t="s">
        <v>215</v>
      </c>
      <c r="N7" s="25" t="s">
        <v>316</v>
      </c>
      <c r="O7" s="25" t="s">
        <v>317</v>
      </c>
      <c r="P7" s="25"/>
    </row>
    <row r="8" spans="1:18" x14ac:dyDescent="0.25">
      <c r="A8" s="20">
        <v>7</v>
      </c>
      <c r="B8" s="20" t="s">
        <v>109</v>
      </c>
      <c r="C8" s="20" t="s">
        <v>113</v>
      </c>
      <c r="D8" t="s">
        <v>137</v>
      </c>
      <c r="E8" s="21" t="s">
        <v>111</v>
      </c>
      <c r="F8" s="21" t="s">
        <v>138</v>
      </c>
      <c r="G8" s="22"/>
      <c r="H8" s="23" t="s">
        <v>130</v>
      </c>
      <c r="M8" s="25" t="s">
        <v>216</v>
      </c>
      <c r="N8" s="25" t="s">
        <v>318</v>
      </c>
      <c r="O8" s="25" t="s">
        <v>106</v>
      </c>
      <c r="P8" s="25"/>
    </row>
    <row r="9" spans="1:18" x14ac:dyDescent="0.25">
      <c r="A9" s="20">
        <v>8</v>
      </c>
      <c r="B9" s="20" t="s">
        <v>109</v>
      </c>
      <c r="C9" s="20" t="s">
        <v>113</v>
      </c>
      <c r="D9" t="s">
        <v>137</v>
      </c>
      <c r="E9" s="21" t="s">
        <v>111</v>
      </c>
      <c r="F9" s="21" t="s">
        <v>139</v>
      </c>
      <c r="G9" s="22">
        <v>2</v>
      </c>
      <c r="H9" s="23"/>
      <c r="M9" s="25" t="s">
        <v>217</v>
      </c>
      <c r="N9" s="25" t="s">
        <v>319</v>
      </c>
      <c r="O9" s="25" t="s">
        <v>106</v>
      </c>
      <c r="P9" s="25"/>
    </row>
    <row r="10" spans="1:18" x14ac:dyDescent="0.25">
      <c r="A10" s="20">
        <v>9</v>
      </c>
      <c r="B10" s="20" t="s">
        <v>109</v>
      </c>
      <c r="C10" s="20" t="s">
        <v>113</v>
      </c>
      <c r="D10" t="s">
        <v>137</v>
      </c>
      <c r="E10" s="21" t="s">
        <v>111</v>
      </c>
      <c r="F10" s="21" t="s">
        <v>140</v>
      </c>
      <c r="G10" s="22">
        <v>1</v>
      </c>
      <c r="H10" s="23"/>
      <c r="M10" s="25" t="s">
        <v>128</v>
      </c>
      <c r="N10" s="25" t="s">
        <v>320</v>
      </c>
      <c r="O10" s="25" t="s">
        <v>378</v>
      </c>
      <c r="P10" s="25"/>
    </row>
    <row r="11" spans="1:18" x14ac:dyDescent="0.25">
      <c r="A11" s="20">
        <v>10</v>
      </c>
      <c r="B11" s="20" t="s">
        <v>109</v>
      </c>
      <c r="C11" s="20" t="s">
        <v>113</v>
      </c>
      <c r="D11" t="s">
        <v>141</v>
      </c>
      <c r="E11" s="21" t="s">
        <v>111</v>
      </c>
      <c r="F11" s="21" t="s">
        <v>142</v>
      </c>
      <c r="G11" s="22"/>
      <c r="H11" s="23" t="s">
        <v>130</v>
      </c>
      <c r="M11" s="25" t="s">
        <v>133</v>
      </c>
      <c r="N11" s="25" t="s">
        <v>321</v>
      </c>
      <c r="O11" s="25" t="s">
        <v>378</v>
      </c>
      <c r="P11" s="25"/>
    </row>
    <row r="12" spans="1:18" x14ac:dyDescent="0.25">
      <c r="A12" s="20">
        <v>11</v>
      </c>
      <c r="B12" s="20" t="s">
        <v>109</v>
      </c>
      <c r="C12" s="20" t="s">
        <v>113</v>
      </c>
      <c r="D12" t="s">
        <v>141</v>
      </c>
      <c r="E12" s="21" t="s">
        <v>111</v>
      </c>
      <c r="F12" s="21" t="s">
        <v>143</v>
      </c>
      <c r="G12" s="22">
        <v>2</v>
      </c>
      <c r="H12" s="23"/>
      <c r="M12" s="25" t="s">
        <v>137</v>
      </c>
      <c r="N12" s="25" t="s">
        <v>322</v>
      </c>
      <c r="O12" s="25" t="s">
        <v>378</v>
      </c>
      <c r="P12" s="25"/>
    </row>
    <row r="13" spans="1:18" x14ac:dyDescent="0.25">
      <c r="A13" s="20">
        <v>12</v>
      </c>
      <c r="B13" s="20" t="s">
        <v>109</v>
      </c>
      <c r="C13" s="20" t="s">
        <v>113</v>
      </c>
      <c r="D13" t="s">
        <v>141</v>
      </c>
      <c r="E13" s="21" t="s">
        <v>111</v>
      </c>
      <c r="F13" s="21" t="s">
        <v>144</v>
      </c>
      <c r="G13" s="22">
        <v>1</v>
      </c>
      <c r="H13" s="23"/>
      <c r="M13" s="25" t="s">
        <v>141</v>
      </c>
      <c r="N13" s="25" t="s">
        <v>323</v>
      </c>
      <c r="O13" s="25" t="s">
        <v>378</v>
      </c>
      <c r="P13" s="25"/>
    </row>
    <row r="14" spans="1:18" x14ac:dyDescent="0.25">
      <c r="A14" s="20">
        <v>13</v>
      </c>
      <c r="B14" s="20" t="s">
        <v>109</v>
      </c>
      <c r="C14" s="20" t="s">
        <v>113</v>
      </c>
      <c r="D14" t="s">
        <v>145</v>
      </c>
      <c r="E14" s="21" t="s">
        <v>111</v>
      </c>
      <c r="F14" s="21" t="s">
        <v>146</v>
      </c>
      <c r="G14" s="22"/>
      <c r="H14" s="23" t="s">
        <v>130</v>
      </c>
      <c r="M14" s="25" t="s">
        <v>145</v>
      </c>
      <c r="N14" s="25" t="s">
        <v>324</v>
      </c>
      <c r="O14" s="25" t="s">
        <v>378</v>
      </c>
      <c r="P14" s="25"/>
    </row>
    <row r="15" spans="1:18" x14ac:dyDescent="0.25">
      <c r="A15" s="20">
        <v>14</v>
      </c>
      <c r="B15" s="20" t="s">
        <v>109</v>
      </c>
      <c r="C15" s="20" t="s">
        <v>113</v>
      </c>
      <c r="D15" t="s">
        <v>145</v>
      </c>
      <c r="E15" s="21" t="s">
        <v>111</v>
      </c>
      <c r="F15" s="21" t="s">
        <v>147</v>
      </c>
      <c r="G15" s="22">
        <v>2</v>
      </c>
      <c r="H15" s="23"/>
      <c r="M15" s="25" t="s">
        <v>149</v>
      </c>
      <c r="N15" s="25" t="s">
        <v>325</v>
      </c>
      <c r="O15" s="25" t="s">
        <v>378</v>
      </c>
      <c r="P15" s="25"/>
    </row>
    <row r="16" spans="1:18" x14ac:dyDescent="0.25">
      <c r="A16" s="20">
        <v>15</v>
      </c>
      <c r="B16" s="20" t="s">
        <v>109</v>
      </c>
      <c r="C16" s="20" t="s">
        <v>113</v>
      </c>
      <c r="D16" t="s">
        <v>145</v>
      </c>
      <c r="E16" s="21" t="s">
        <v>111</v>
      </c>
      <c r="F16" s="21" t="s">
        <v>148</v>
      </c>
      <c r="G16" s="22">
        <v>1</v>
      </c>
      <c r="H16" s="23"/>
      <c r="M16" s="25" t="s">
        <v>153</v>
      </c>
      <c r="N16" s="25" t="s">
        <v>326</v>
      </c>
      <c r="O16" s="25" t="s">
        <v>378</v>
      </c>
      <c r="P16" s="25"/>
    </row>
    <row r="17" spans="1:16" x14ac:dyDescent="0.25">
      <c r="A17" s="20">
        <v>16</v>
      </c>
      <c r="B17" s="20" t="s">
        <v>109</v>
      </c>
      <c r="C17" s="20" t="s">
        <v>113</v>
      </c>
      <c r="D17" t="s">
        <v>149</v>
      </c>
      <c r="E17" s="21" t="s">
        <v>111</v>
      </c>
      <c r="F17" s="21" t="s">
        <v>150</v>
      </c>
      <c r="G17" s="22"/>
      <c r="H17" s="23" t="s">
        <v>130</v>
      </c>
      <c r="M17" s="25" t="s">
        <v>157</v>
      </c>
      <c r="N17" s="25" t="s">
        <v>327</v>
      </c>
      <c r="O17" s="25" t="s">
        <v>378</v>
      </c>
      <c r="P17" s="26"/>
    </row>
    <row r="18" spans="1:16" x14ac:dyDescent="0.25">
      <c r="A18" s="20">
        <v>17</v>
      </c>
      <c r="B18" s="20" t="s">
        <v>109</v>
      </c>
      <c r="C18" s="20" t="s">
        <v>113</v>
      </c>
      <c r="D18" t="s">
        <v>149</v>
      </c>
      <c r="E18" s="21" t="s">
        <v>111</v>
      </c>
      <c r="F18" s="21" t="s">
        <v>151</v>
      </c>
      <c r="G18" s="22">
        <v>2</v>
      </c>
      <c r="H18" s="23"/>
      <c r="M18" s="25" t="s">
        <v>161</v>
      </c>
      <c r="N18" s="25" t="s">
        <v>328</v>
      </c>
      <c r="O18" s="25" t="s">
        <v>378</v>
      </c>
      <c r="P18" s="26"/>
    </row>
    <row r="19" spans="1:16" x14ac:dyDescent="0.25">
      <c r="A19" s="20">
        <v>18</v>
      </c>
      <c r="B19" s="20" t="s">
        <v>109</v>
      </c>
      <c r="C19" s="20" t="s">
        <v>113</v>
      </c>
      <c r="D19" t="s">
        <v>149</v>
      </c>
      <c r="E19" s="21" t="s">
        <v>111</v>
      </c>
      <c r="F19" s="21" t="s">
        <v>152</v>
      </c>
      <c r="G19" s="22">
        <v>1</v>
      </c>
      <c r="H19" s="23"/>
      <c r="M19" s="25" t="s">
        <v>165</v>
      </c>
      <c r="N19" s="25" t="s">
        <v>329</v>
      </c>
      <c r="O19" s="25" t="s">
        <v>378</v>
      </c>
      <c r="P19" s="26"/>
    </row>
    <row r="20" spans="1:16" x14ac:dyDescent="0.25">
      <c r="A20" s="20">
        <v>19</v>
      </c>
      <c r="B20" s="20" t="s">
        <v>109</v>
      </c>
      <c r="C20" s="20" t="s">
        <v>113</v>
      </c>
      <c r="D20" t="s">
        <v>153</v>
      </c>
      <c r="E20" s="21" t="s">
        <v>111</v>
      </c>
      <c r="F20" s="21" t="s">
        <v>154</v>
      </c>
      <c r="G20" s="22"/>
      <c r="H20" s="23" t="s">
        <v>130</v>
      </c>
      <c r="M20" s="27" t="s">
        <v>330</v>
      </c>
      <c r="N20" s="25" t="s">
        <v>331</v>
      </c>
      <c r="O20" s="25" t="s">
        <v>332</v>
      </c>
      <c r="P20" s="26"/>
    </row>
    <row r="21" spans="1:16" x14ac:dyDescent="0.25">
      <c r="A21" s="20">
        <v>20</v>
      </c>
      <c r="B21" s="20" t="s">
        <v>109</v>
      </c>
      <c r="C21" s="20" t="s">
        <v>113</v>
      </c>
      <c r="D21" t="s">
        <v>153</v>
      </c>
      <c r="E21" s="21" t="s">
        <v>111</v>
      </c>
      <c r="F21" s="21" t="s">
        <v>155</v>
      </c>
      <c r="G21" s="22">
        <v>2</v>
      </c>
      <c r="H21" s="23"/>
      <c r="M21" s="27" t="s">
        <v>333</v>
      </c>
      <c r="N21" s="25" t="s">
        <v>334</v>
      </c>
      <c r="O21" s="25" t="s">
        <v>335</v>
      </c>
      <c r="P21" s="26"/>
    </row>
    <row r="22" spans="1:16" x14ac:dyDescent="0.25">
      <c r="A22" s="20">
        <v>21</v>
      </c>
      <c r="B22" s="20" t="s">
        <v>109</v>
      </c>
      <c r="C22" s="20" t="s">
        <v>113</v>
      </c>
      <c r="D22" t="s">
        <v>153</v>
      </c>
      <c r="E22" s="21" t="s">
        <v>111</v>
      </c>
      <c r="F22" s="21" t="s">
        <v>156</v>
      </c>
      <c r="G22" s="22">
        <v>1</v>
      </c>
      <c r="H22" s="23"/>
      <c r="M22" s="27" t="s">
        <v>336</v>
      </c>
      <c r="N22" s="25" t="s">
        <v>337</v>
      </c>
      <c r="O22" s="25" t="s">
        <v>338</v>
      </c>
      <c r="P22" s="26"/>
    </row>
    <row r="23" spans="1:16" x14ac:dyDescent="0.25">
      <c r="A23" s="20">
        <v>22</v>
      </c>
      <c r="B23" s="20" t="s">
        <v>109</v>
      </c>
      <c r="C23" s="20" t="s">
        <v>113</v>
      </c>
      <c r="D23" t="s">
        <v>157</v>
      </c>
      <c r="E23" s="21" t="s">
        <v>111</v>
      </c>
      <c r="F23" s="21" t="s">
        <v>158</v>
      </c>
      <c r="G23" s="22"/>
      <c r="H23" s="23" t="s">
        <v>130</v>
      </c>
      <c r="M23" s="27" t="s">
        <v>339</v>
      </c>
      <c r="N23" s="25" t="s">
        <v>340</v>
      </c>
      <c r="O23" s="25" t="s">
        <v>338</v>
      </c>
      <c r="P23" s="26"/>
    </row>
    <row r="24" spans="1:16" x14ac:dyDescent="0.25">
      <c r="A24" s="20">
        <v>23</v>
      </c>
      <c r="B24" s="20" t="s">
        <v>109</v>
      </c>
      <c r="C24" s="20" t="s">
        <v>113</v>
      </c>
      <c r="D24" t="s">
        <v>157</v>
      </c>
      <c r="E24" s="21" t="s">
        <v>111</v>
      </c>
      <c r="F24" s="21" t="s">
        <v>159</v>
      </c>
      <c r="G24" s="22">
        <v>2</v>
      </c>
      <c r="H24" s="23"/>
      <c r="M24" s="27" t="s">
        <v>341</v>
      </c>
      <c r="N24" s="25" t="s">
        <v>342</v>
      </c>
      <c r="O24" s="25" t="s">
        <v>106</v>
      </c>
      <c r="P24" s="26"/>
    </row>
    <row r="25" spans="1:16" x14ac:dyDescent="0.25">
      <c r="A25" s="20">
        <v>24</v>
      </c>
      <c r="B25" s="20" t="s">
        <v>109</v>
      </c>
      <c r="C25" s="20" t="s">
        <v>113</v>
      </c>
      <c r="D25" t="s">
        <v>157</v>
      </c>
      <c r="E25" s="21" t="s">
        <v>111</v>
      </c>
      <c r="F25" s="21" t="s">
        <v>160</v>
      </c>
      <c r="G25" s="22">
        <v>1</v>
      </c>
      <c r="H25" s="23"/>
      <c r="M25" s="28" t="s">
        <v>343</v>
      </c>
      <c r="N25" s="26" t="s">
        <v>343</v>
      </c>
      <c r="O25" s="26" t="s">
        <v>106</v>
      </c>
      <c r="P25"/>
    </row>
    <row r="26" spans="1:16" x14ac:dyDescent="0.25">
      <c r="A26" s="20">
        <v>25</v>
      </c>
      <c r="B26" s="20" t="s">
        <v>109</v>
      </c>
      <c r="C26" s="20" t="s">
        <v>113</v>
      </c>
      <c r="D26" t="s">
        <v>161</v>
      </c>
      <c r="E26" s="21" t="s">
        <v>111</v>
      </c>
      <c r="F26" s="21" t="s">
        <v>162</v>
      </c>
      <c r="G26" s="22"/>
      <c r="H26" s="23" t="s">
        <v>130</v>
      </c>
      <c r="M26" s="26" t="s">
        <v>237</v>
      </c>
      <c r="N26" s="26" t="s">
        <v>344</v>
      </c>
      <c r="O26" s="26" t="s">
        <v>345</v>
      </c>
      <c r="P26"/>
    </row>
    <row r="27" spans="1:16" x14ac:dyDescent="0.25">
      <c r="A27" s="20">
        <v>26</v>
      </c>
      <c r="B27" s="20" t="s">
        <v>109</v>
      </c>
      <c r="C27" s="20" t="s">
        <v>113</v>
      </c>
      <c r="D27" t="s">
        <v>161</v>
      </c>
      <c r="E27" s="21" t="s">
        <v>111</v>
      </c>
      <c r="F27" s="21" t="s">
        <v>163</v>
      </c>
      <c r="G27" s="22">
        <v>2</v>
      </c>
      <c r="H27" s="23"/>
      <c r="M27" s="28" t="s">
        <v>346</v>
      </c>
      <c r="N27" s="26" t="s">
        <v>346</v>
      </c>
      <c r="O27" s="26" t="s">
        <v>106</v>
      </c>
      <c r="P27"/>
    </row>
    <row r="28" spans="1:16" x14ac:dyDescent="0.25">
      <c r="A28" s="20">
        <v>27</v>
      </c>
      <c r="B28" s="20" t="s">
        <v>109</v>
      </c>
      <c r="C28" s="20" t="s">
        <v>113</v>
      </c>
      <c r="D28" t="s">
        <v>161</v>
      </c>
      <c r="E28" s="21" t="s">
        <v>111</v>
      </c>
      <c r="F28" s="21" t="s">
        <v>164</v>
      </c>
      <c r="G28" s="22">
        <v>1</v>
      </c>
      <c r="H28" s="23"/>
      <c r="M28" s="26" t="s">
        <v>347</v>
      </c>
      <c r="N28" s="26" t="s">
        <v>348</v>
      </c>
      <c r="O28" s="26" t="s">
        <v>349</v>
      </c>
      <c r="P28"/>
    </row>
    <row r="29" spans="1:16" x14ac:dyDescent="0.25">
      <c r="A29" s="20">
        <v>28</v>
      </c>
      <c r="B29" s="20" t="s">
        <v>109</v>
      </c>
      <c r="C29" s="20" t="s">
        <v>113</v>
      </c>
      <c r="D29" t="s">
        <v>165</v>
      </c>
      <c r="E29" s="21" t="s">
        <v>111</v>
      </c>
      <c r="F29" s="21" t="s">
        <v>166</v>
      </c>
      <c r="G29" s="22"/>
      <c r="H29" s="23" t="s">
        <v>130</v>
      </c>
      <c r="M29" s="26" t="s">
        <v>350</v>
      </c>
      <c r="N29" s="26" t="s">
        <v>351</v>
      </c>
      <c r="O29" s="26" t="s">
        <v>352</v>
      </c>
      <c r="P29"/>
    </row>
    <row r="30" spans="1:16" x14ac:dyDescent="0.25">
      <c r="A30" s="20">
        <v>29</v>
      </c>
      <c r="B30" s="20" t="s">
        <v>109</v>
      </c>
      <c r="C30" s="20" t="s">
        <v>113</v>
      </c>
      <c r="D30" t="s">
        <v>165</v>
      </c>
      <c r="E30" s="21" t="s">
        <v>111</v>
      </c>
      <c r="F30" s="21" t="s">
        <v>167</v>
      </c>
      <c r="G30" s="22">
        <v>2</v>
      </c>
      <c r="H30" s="23"/>
      <c r="M30" s="26" t="s">
        <v>353</v>
      </c>
      <c r="N30" s="26" t="s">
        <v>354</v>
      </c>
      <c r="O30" s="26" t="s">
        <v>355</v>
      </c>
      <c r="P30"/>
    </row>
    <row r="31" spans="1:16" x14ac:dyDescent="0.25">
      <c r="A31" s="20">
        <v>30</v>
      </c>
      <c r="B31" s="20" t="s">
        <v>109</v>
      </c>
      <c r="C31" s="20" t="s">
        <v>113</v>
      </c>
      <c r="D31" t="s">
        <v>165</v>
      </c>
      <c r="E31" s="21" t="s">
        <v>111</v>
      </c>
      <c r="F31" s="21" t="s">
        <v>168</v>
      </c>
      <c r="G31" s="22">
        <v>1</v>
      </c>
      <c r="H31" s="23"/>
      <c r="M31" s="26" t="s">
        <v>356</v>
      </c>
      <c r="N31" s="26" t="s">
        <v>357</v>
      </c>
      <c r="O31" s="26" t="s">
        <v>358</v>
      </c>
      <c r="P31"/>
    </row>
    <row r="32" spans="1:16" x14ac:dyDescent="0.25">
      <c r="A32" s="20">
        <v>31</v>
      </c>
      <c r="B32" s="20" t="s">
        <v>109</v>
      </c>
      <c r="C32" s="20" t="s">
        <v>110</v>
      </c>
      <c r="D32" t="s">
        <v>169</v>
      </c>
      <c r="E32" s="21" t="s">
        <v>170</v>
      </c>
      <c r="F32" s="21" t="s">
        <v>171</v>
      </c>
      <c r="G32" s="22"/>
      <c r="H32" s="23"/>
      <c r="M32" s="26" t="s">
        <v>359</v>
      </c>
      <c r="N32" s="26" t="s">
        <v>360</v>
      </c>
      <c r="O32" s="26" t="s">
        <v>361</v>
      </c>
      <c r="P32"/>
    </row>
    <row r="33" spans="1:16" x14ac:dyDescent="0.25">
      <c r="A33" s="20">
        <v>32</v>
      </c>
      <c r="B33" s="20" t="s">
        <v>109</v>
      </c>
      <c r="C33" s="20" t="s">
        <v>110</v>
      </c>
      <c r="D33" t="s">
        <v>169</v>
      </c>
      <c r="E33" s="21" t="s">
        <v>170</v>
      </c>
      <c r="F33" s="21" t="s">
        <v>171</v>
      </c>
      <c r="G33" s="22"/>
      <c r="H33" s="23"/>
      <c r="M33" s="26" t="s">
        <v>362</v>
      </c>
      <c r="N33" s="26" t="s">
        <v>363</v>
      </c>
      <c r="O33" s="26" t="s">
        <v>364</v>
      </c>
      <c r="P33"/>
    </row>
    <row r="34" spans="1:16" x14ac:dyDescent="0.25">
      <c r="A34" s="20">
        <v>33</v>
      </c>
      <c r="B34" s="20" t="s">
        <v>109</v>
      </c>
      <c r="C34" s="20" t="s">
        <v>110</v>
      </c>
      <c r="D34" t="s">
        <v>169</v>
      </c>
      <c r="E34" s="21" t="s">
        <v>170</v>
      </c>
      <c r="F34" s="21" t="s">
        <v>171</v>
      </c>
      <c r="G34" s="22"/>
      <c r="H34" s="23"/>
      <c r="M34" s="26" t="s">
        <v>365</v>
      </c>
      <c r="N34" s="26" t="s">
        <v>366</v>
      </c>
      <c r="O34" s="26" t="s">
        <v>367</v>
      </c>
      <c r="P34"/>
    </row>
    <row r="35" spans="1:16" x14ac:dyDescent="0.25">
      <c r="A35" s="20">
        <v>34</v>
      </c>
      <c r="B35" s="20" t="s">
        <v>109</v>
      </c>
      <c r="C35" s="20" t="s">
        <v>110</v>
      </c>
      <c r="D35" t="s">
        <v>169</v>
      </c>
      <c r="E35" s="21" t="s">
        <v>170</v>
      </c>
      <c r="F35" s="21" t="s">
        <v>172</v>
      </c>
      <c r="G35" s="22"/>
      <c r="H35" s="23"/>
      <c r="M35" s="26" t="s">
        <v>368</v>
      </c>
      <c r="N35" s="26" t="s">
        <v>369</v>
      </c>
      <c r="O35" s="26" t="s">
        <v>370</v>
      </c>
      <c r="P35"/>
    </row>
    <row r="36" spans="1:16" x14ac:dyDescent="0.25">
      <c r="A36" s="20">
        <v>35</v>
      </c>
      <c r="B36" s="20" t="s">
        <v>109</v>
      </c>
      <c r="C36" s="20" t="s">
        <v>113</v>
      </c>
      <c r="D36" t="s">
        <v>169</v>
      </c>
      <c r="E36" s="21" t="s">
        <v>170</v>
      </c>
      <c r="F36" s="29" t="s">
        <v>386</v>
      </c>
      <c r="G36" s="22"/>
      <c r="H36" s="23"/>
      <c r="M36" s="26" t="s">
        <v>371</v>
      </c>
      <c r="N36" s="26" t="s">
        <v>372</v>
      </c>
      <c r="O36" s="26" t="s">
        <v>373</v>
      </c>
      <c r="P36"/>
    </row>
    <row r="37" spans="1:16" x14ac:dyDescent="0.25">
      <c r="A37" s="20">
        <v>36</v>
      </c>
      <c r="B37" s="20" t="s">
        <v>109</v>
      </c>
      <c r="C37" s="20" t="s">
        <v>110</v>
      </c>
      <c r="D37" t="s">
        <v>169</v>
      </c>
      <c r="E37" s="21" t="s">
        <v>170</v>
      </c>
      <c r="F37" s="21" t="s">
        <v>173</v>
      </c>
      <c r="G37" s="22"/>
      <c r="H37" s="23"/>
      <c r="M37" s="26" t="s">
        <v>374</v>
      </c>
      <c r="N37" s="26" t="s">
        <v>375</v>
      </c>
      <c r="O37" s="26" t="s">
        <v>376</v>
      </c>
      <c r="P37"/>
    </row>
    <row r="38" spans="1:16" x14ac:dyDescent="0.25">
      <c r="A38" s="20">
        <v>37</v>
      </c>
      <c r="B38" s="20" t="s">
        <v>109</v>
      </c>
      <c r="C38" s="20" t="s">
        <v>110</v>
      </c>
      <c r="D38" t="s">
        <v>169</v>
      </c>
      <c r="E38" s="21" t="s">
        <v>170</v>
      </c>
      <c r="F38" s="21" t="s">
        <v>174</v>
      </c>
      <c r="G38" s="22"/>
      <c r="H38" s="23"/>
      <c r="M38" s="26" t="s">
        <v>107</v>
      </c>
      <c r="N38" s="21" t="s">
        <v>108</v>
      </c>
      <c r="O38" s="21" t="s">
        <v>377</v>
      </c>
      <c r="P38"/>
    </row>
    <row r="39" spans="1:16" x14ac:dyDescent="0.25">
      <c r="A39" s="20">
        <v>38</v>
      </c>
      <c r="B39" s="20" t="s">
        <v>109</v>
      </c>
      <c r="C39" s="20" t="s">
        <v>110</v>
      </c>
      <c r="D39" t="s">
        <v>169</v>
      </c>
      <c r="E39" s="21" t="s">
        <v>170</v>
      </c>
      <c r="F39" s="21" t="s">
        <v>175</v>
      </c>
      <c r="G39" s="20"/>
      <c r="H39" s="23"/>
    </row>
    <row r="40" spans="1:16" x14ac:dyDescent="0.25">
      <c r="A40" s="20">
        <v>39</v>
      </c>
      <c r="B40" s="20" t="s">
        <v>109</v>
      </c>
      <c r="C40" s="20" t="s">
        <v>110</v>
      </c>
      <c r="D40" t="s">
        <v>169</v>
      </c>
      <c r="E40" s="21" t="s">
        <v>170</v>
      </c>
      <c r="F40" s="21" t="s">
        <v>176</v>
      </c>
      <c r="G40" s="22"/>
      <c r="H40" s="23"/>
    </row>
    <row r="41" spans="1:16" x14ac:dyDescent="0.25">
      <c r="A41" s="20">
        <v>40</v>
      </c>
      <c r="B41" s="20" t="s">
        <v>109</v>
      </c>
      <c r="C41" s="20" t="s">
        <v>110</v>
      </c>
      <c r="D41" t="s">
        <v>169</v>
      </c>
      <c r="E41" s="21" t="s">
        <v>170</v>
      </c>
      <c r="F41" s="21" t="s">
        <v>177</v>
      </c>
      <c r="G41" s="22"/>
      <c r="H41" s="23"/>
    </row>
    <row r="42" spans="1:16" x14ac:dyDescent="0.25">
      <c r="A42" s="20">
        <v>41</v>
      </c>
      <c r="B42" s="20" t="s">
        <v>109</v>
      </c>
      <c r="C42" s="20" t="s">
        <v>110</v>
      </c>
      <c r="D42" t="s">
        <v>169</v>
      </c>
      <c r="E42" s="21" t="s">
        <v>170</v>
      </c>
      <c r="F42" t="s">
        <v>178</v>
      </c>
      <c r="G42"/>
      <c r="H42" s="23"/>
    </row>
    <row r="43" spans="1:16" x14ac:dyDescent="0.25">
      <c r="A43" s="20">
        <v>42</v>
      </c>
      <c r="B43" s="20" t="s">
        <v>109</v>
      </c>
      <c r="C43" s="20" t="s">
        <v>110</v>
      </c>
      <c r="D43" t="s">
        <v>169</v>
      </c>
      <c r="E43" s="21" t="s">
        <v>170</v>
      </c>
      <c r="F43" t="s">
        <v>179</v>
      </c>
      <c r="G43"/>
      <c r="H43" s="23"/>
    </row>
    <row r="44" spans="1:16" x14ac:dyDescent="0.25">
      <c r="A44" s="20">
        <v>43</v>
      </c>
      <c r="B44" s="20" t="s">
        <v>109</v>
      </c>
      <c r="C44" s="20" t="s">
        <v>110</v>
      </c>
      <c r="D44" t="s">
        <v>169</v>
      </c>
      <c r="E44" s="21" t="s">
        <v>170</v>
      </c>
      <c r="F44" t="s">
        <v>180</v>
      </c>
      <c r="G44"/>
      <c r="H44" s="23"/>
    </row>
    <row r="45" spans="1:16" x14ac:dyDescent="0.25">
      <c r="A45" s="20">
        <v>44</v>
      </c>
      <c r="B45" s="20" t="s">
        <v>109</v>
      </c>
      <c r="C45" s="20" t="s">
        <v>110</v>
      </c>
      <c r="D45" t="s">
        <v>169</v>
      </c>
      <c r="E45" s="21" t="s">
        <v>170</v>
      </c>
      <c r="F45" t="s">
        <v>181</v>
      </c>
      <c r="G45"/>
      <c r="H45" s="23"/>
    </row>
    <row r="46" spans="1:16" x14ac:dyDescent="0.25">
      <c r="A46" s="20">
        <v>45</v>
      </c>
      <c r="B46" s="20" t="s">
        <v>109</v>
      </c>
      <c r="C46" s="20" t="s">
        <v>110</v>
      </c>
      <c r="D46" t="s">
        <v>169</v>
      </c>
      <c r="E46" s="21" t="s">
        <v>170</v>
      </c>
      <c r="F46" t="s">
        <v>182</v>
      </c>
      <c r="G46"/>
      <c r="H46" s="23"/>
    </row>
    <row r="47" spans="1:16" x14ac:dyDescent="0.25">
      <c r="A47" s="20">
        <v>46</v>
      </c>
      <c r="B47" s="20" t="s">
        <v>109</v>
      </c>
      <c r="C47" s="20" t="s">
        <v>110</v>
      </c>
      <c r="D47" t="s">
        <v>169</v>
      </c>
      <c r="E47" s="21" t="s">
        <v>170</v>
      </c>
      <c r="F47" t="s">
        <v>183</v>
      </c>
      <c r="G47"/>
      <c r="H47" s="23"/>
    </row>
    <row r="48" spans="1:16" x14ac:dyDescent="0.25">
      <c r="A48" s="20">
        <v>47</v>
      </c>
      <c r="B48" s="20" t="s">
        <v>109</v>
      </c>
      <c r="C48" s="20" t="s">
        <v>110</v>
      </c>
      <c r="D48" t="s">
        <v>169</v>
      </c>
      <c r="E48" s="21" t="s">
        <v>170</v>
      </c>
      <c r="F48" t="s">
        <v>184</v>
      </c>
      <c r="G48"/>
      <c r="H48" s="23"/>
    </row>
    <row r="49" spans="1:8" x14ac:dyDescent="0.25">
      <c r="A49" s="20">
        <v>48</v>
      </c>
      <c r="B49" s="20" t="s">
        <v>109</v>
      </c>
      <c r="C49" s="20" t="s">
        <v>110</v>
      </c>
      <c r="D49" t="s">
        <v>169</v>
      </c>
      <c r="E49" s="21" t="s">
        <v>170</v>
      </c>
      <c r="F49" t="s">
        <v>185</v>
      </c>
      <c r="G49"/>
      <c r="H49" s="23"/>
    </row>
    <row r="50" spans="1:8" x14ac:dyDescent="0.25">
      <c r="A50" s="20">
        <v>49</v>
      </c>
      <c r="B50" s="20" t="s">
        <v>109</v>
      </c>
      <c r="C50" s="20" t="s">
        <v>110</v>
      </c>
      <c r="D50" t="s">
        <v>169</v>
      </c>
      <c r="E50" s="21" t="s">
        <v>170</v>
      </c>
      <c r="F50" t="s">
        <v>186</v>
      </c>
      <c r="G50"/>
      <c r="H50" s="23"/>
    </row>
    <row r="51" spans="1:8" x14ac:dyDescent="0.25">
      <c r="A51" s="20">
        <v>50</v>
      </c>
      <c r="B51" s="20" t="s">
        <v>109</v>
      </c>
      <c r="C51" s="20" t="s">
        <v>110</v>
      </c>
      <c r="D51" t="s">
        <v>169</v>
      </c>
      <c r="E51" s="21" t="s">
        <v>170</v>
      </c>
      <c r="F51" t="s">
        <v>187</v>
      </c>
      <c r="G51"/>
      <c r="H51" s="23"/>
    </row>
    <row r="52" spans="1:8" x14ac:dyDescent="0.25">
      <c r="A52" s="20">
        <v>51</v>
      </c>
      <c r="B52" s="20" t="s">
        <v>109</v>
      </c>
      <c r="C52" s="20" t="s">
        <v>113</v>
      </c>
      <c r="D52" t="s">
        <v>169</v>
      </c>
      <c r="E52" s="21" t="s">
        <v>170</v>
      </c>
      <c r="F52" s="30" t="s">
        <v>394</v>
      </c>
      <c r="G52"/>
      <c r="H52" s="23"/>
    </row>
    <row r="53" spans="1:8" x14ac:dyDescent="0.25">
      <c r="A53" s="20">
        <v>52</v>
      </c>
      <c r="B53" s="20" t="s">
        <v>109</v>
      </c>
      <c r="C53" s="20" t="s">
        <v>110</v>
      </c>
      <c r="D53" t="s">
        <v>169</v>
      </c>
      <c r="E53" s="21" t="s">
        <v>170</v>
      </c>
      <c r="F53" t="s">
        <v>188</v>
      </c>
      <c r="G53"/>
      <c r="H53" s="23"/>
    </row>
    <row r="54" spans="1:8" x14ac:dyDescent="0.25">
      <c r="A54" s="20">
        <v>53</v>
      </c>
      <c r="B54" s="20" t="s">
        <v>109</v>
      </c>
      <c r="C54" s="20" t="s">
        <v>110</v>
      </c>
      <c r="D54" t="s">
        <v>169</v>
      </c>
      <c r="E54" s="21" t="s">
        <v>170</v>
      </c>
      <c r="F54" t="s">
        <v>189</v>
      </c>
      <c r="G54"/>
      <c r="H54" s="23"/>
    </row>
    <row r="55" spans="1:8" x14ac:dyDescent="0.25">
      <c r="A55" s="20">
        <v>54</v>
      </c>
      <c r="B55" s="20" t="s">
        <v>109</v>
      </c>
      <c r="C55" s="20" t="s">
        <v>110</v>
      </c>
      <c r="D55" t="s">
        <v>169</v>
      </c>
      <c r="E55" s="21" t="s">
        <v>170</v>
      </c>
      <c r="F55" t="s">
        <v>190</v>
      </c>
      <c r="G55"/>
      <c r="H55" s="23"/>
    </row>
    <row r="56" spans="1:8" x14ac:dyDescent="0.25">
      <c r="A56" s="20">
        <v>55</v>
      </c>
      <c r="B56" s="20" t="s">
        <v>109</v>
      </c>
      <c r="C56" s="20" t="s">
        <v>110</v>
      </c>
      <c r="D56" t="s">
        <v>169</v>
      </c>
      <c r="E56" s="21" t="s">
        <v>170</v>
      </c>
      <c r="F56" t="s">
        <v>191</v>
      </c>
      <c r="G56"/>
      <c r="H56" s="23"/>
    </row>
    <row r="57" spans="1:8" x14ac:dyDescent="0.25">
      <c r="A57" s="20">
        <v>56</v>
      </c>
      <c r="B57" s="20" t="s">
        <v>109</v>
      </c>
      <c r="C57" s="20" t="s">
        <v>110</v>
      </c>
      <c r="D57" t="s">
        <v>169</v>
      </c>
      <c r="E57" s="21" t="s">
        <v>170</v>
      </c>
      <c r="F57" t="s">
        <v>192</v>
      </c>
      <c r="G57"/>
      <c r="H57" s="23"/>
    </row>
    <row r="58" spans="1:8" x14ac:dyDescent="0.25">
      <c r="A58" s="20">
        <v>57</v>
      </c>
      <c r="B58" s="20" t="s">
        <v>109</v>
      </c>
      <c r="C58" s="20" t="s">
        <v>110</v>
      </c>
      <c r="D58" t="s">
        <v>169</v>
      </c>
      <c r="E58" s="21" t="s">
        <v>170</v>
      </c>
      <c r="F58" t="s">
        <v>193</v>
      </c>
      <c r="G58"/>
      <c r="H58" s="23"/>
    </row>
    <row r="59" spans="1:8" x14ac:dyDescent="0.25">
      <c r="A59" s="20">
        <v>58</v>
      </c>
      <c r="B59" s="20" t="s">
        <v>109</v>
      </c>
      <c r="C59" s="20" t="s">
        <v>110</v>
      </c>
      <c r="D59" t="s">
        <v>169</v>
      </c>
      <c r="E59" s="21" t="s">
        <v>170</v>
      </c>
      <c r="F59" t="s">
        <v>194</v>
      </c>
      <c r="G59"/>
      <c r="H59" s="23"/>
    </row>
    <row r="60" spans="1:8" x14ac:dyDescent="0.25">
      <c r="A60" s="20">
        <v>59</v>
      </c>
      <c r="B60" s="20" t="s">
        <v>109</v>
      </c>
      <c r="C60" s="20" t="s">
        <v>110</v>
      </c>
      <c r="D60" t="s">
        <v>169</v>
      </c>
      <c r="E60" s="21" t="s">
        <v>170</v>
      </c>
      <c r="F60" t="s">
        <v>195</v>
      </c>
      <c r="G60"/>
      <c r="H60" s="23"/>
    </row>
    <row r="61" spans="1:8" x14ac:dyDescent="0.25">
      <c r="A61" s="20">
        <v>60</v>
      </c>
      <c r="B61" s="20" t="s">
        <v>109</v>
      </c>
      <c r="C61" s="20" t="s">
        <v>113</v>
      </c>
      <c r="D61" t="s">
        <v>169</v>
      </c>
      <c r="E61" s="21" t="s">
        <v>170</v>
      </c>
      <c r="F61" s="30" t="s">
        <v>382</v>
      </c>
      <c r="G61"/>
      <c r="H61" s="23"/>
    </row>
    <row r="62" spans="1:8" x14ac:dyDescent="0.25">
      <c r="A62" s="20">
        <v>61</v>
      </c>
      <c r="B62" s="20" t="s">
        <v>109</v>
      </c>
      <c r="C62" s="20" t="s">
        <v>110</v>
      </c>
      <c r="D62" t="s">
        <v>169</v>
      </c>
      <c r="E62" s="21" t="s">
        <v>170</v>
      </c>
      <c r="F62" t="s">
        <v>196</v>
      </c>
      <c r="G62"/>
      <c r="H62" s="23"/>
    </row>
    <row r="63" spans="1:8" x14ac:dyDescent="0.25">
      <c r="A63" s="20">
        <v>62</v>
      </c>
      <c r="B63" s="20" t="s">
        <v>109</v>
      </c>
      <c r="C63" s="20" t="s">
        <v>110</v>
      </c>
      <c r="D63" t="s">
        <v>169</v>
      </c>
      <c r="E63" s="21" t="s">
        <v>170</v>
      </c>
      <c r="F63" t="s">
        <v>197</v>
      </c>
      <c r="G63"/>
      <c r="H63" s="23"/>
    </row>
    <row r="64" spans="1:8" x14ac:dyDescent="0.25">
      <c r="A64" s="20">
        <v>63</v>
      </c>
      <c r="B64" s="20" t="s">
        <v>109</v>
      </c>
      <c r="C64" s="20" t="s">
        <v>110</v>
      </c>
      <c r="D64" t="s">
        <v>169</v>
      </c>
      <c r="E64" s="21" t="s">
        <v>170</v>
      </c>
      <c r="F64" t="s">
        <v>198</v>
      </c>
      <c r="G64"/>
      <c r="H64" s="23"/>
    </row>
    <row r="65" spans="1:8" x14ac:dyDescent="0.25">
      <c r="A65" s="20">
        <v>64</v>
      </c>
      <c r="B65" s="20" t="s">
        <v>109</v>
      </c>
      <c r="C65" s="20" t="s">
        <v>110</v>
      </c>
      <c r="D65" t="s">
        <v>169</v>
      </c>
      <c r="E65" s="21" t="s">
        <v>170</v>
      </c>
      <c r="F65" t="s">
        <v>199</v>
      </c>
      <c r="G65"/>
      <c r="H65" s="23"/>
    </row>
    <row r="66" spans="1:8" x14ac:dyDescent="0.25">
      <c r="A66" s="20">
        <v>65</v>
      </c>
      <c r="B66" s="20" t="s">
        <v>109</v>
      </c>
      <c r="C66" s="20" t="s">
        <v>110</v>
      </c>
      <c r="D66" t="s">
        <v>169</v>
      </c>
      <c r="E66" s="21" t="s">
        <v>170</v>
      </c>
      <c r="F66" t="s">
        <v>200</v>
      </c>
      <c r="G66"/>
      <c r="H66" s="23"/>
    </row>
    <row r="67" spans="1:8" x14ac:dyDescent="0.25">
      <c r="A67" s="20">
        <v>66</v>
      </c>
      <c r="B67" s="20" t="s">
        <v>109</v>
      </c>
      <c r="C67" s="20" t="s">
        <v>110</v>
      </c>
      <c r="D67" t="s">
        <v>169</v>
      </c>
      <c r="E67" s="21" t="s">
        <v>170</v>
      </c>
      <c r="F67" t="s">
        <v>201</v>
      </c>
      <c r="G67"/>
      <c r="H67" s="23"/>
    </row>
    <row r="68" spans="1:8" x14ac:dyDescent="0.25">
      <c r="A68" s="20">
        <v>67</v>
      </c>
      <c r="B68" s="20" t="s">
        <v>109</v>
      </c>
      <c r="C68" s="20" t="s">
        <v>110</v>
      </c>
      <c r="D68" t="s">
        <v>169</v>
      </c>
      <c r="E68" s="21" t="s">
        <v>170</v>
      </c>
      <c r="F68" t="s">
        <v>202</v>
      </c>
      <c r="G68"/>
      <c r="H68" s="23"/>
    </row>
    <row r="69" spans="1:8" x14ac:dyDescent="0.25">
      <c r="A69" s="20">
        <v>68</v>
      </c>
      <c r="B69" s="20" t="s">
        <v>109</v>
      </c>
      <c r="C69" s="20" t="s">
        <v>110</v>
      </c>
      <c r="D69" t="s">
        <v>169</v>
      </c>
      <c r="E69" s="21" t="s">
        <v>170</v>
      </c>
      <c r="F69" t="s">
        <v>203</v>
      </c>
      <c r="G69"/>
      <c r="H69" s="23"/>
    </row>
    <row r="70" spans="1:8" x14ac:dyDescent="0.25">
      <c r="A70" s="20">
        <v>69</v>
      </c>
      <c r="B70" s="20" t="s">
        <v>109</v>
      </c>
      <c r="C70" s="20" t="s">
        <v>113</v>
      </c>
      <c r="D70" t="s">
        <v>169</v>
      </c>
      <c r="E70" s="21" t="s">
        <v>170</v>
      </c>
      <c r="F70" s="30" t="s">
        <v>381</v>
      </c>
      <c r="G70"/>
      <c r="H70" s="23"/>
    </row>
    <row r="71" spans="1:8" x14ac:dyDescent="0.25">
      <c r="A71" s="20">
        <v>70</v>
      </c>
      <c r="B71" s="20" t="s">
        <v>109</v>
      </c>
      <c r="C71" s="20" t="s">
        <v>110</v>
      </c>
      <c r="D71" t="s">
        <v>169</v>
      </c>
      <c r="E71" s="21" t="s">
        <v>170</v>
      </c>
      <c r="F71" t="s">
        <v>171</v>
      </c>
      <c r="G71"/>
      <c r="H71" s="23"/>
    </row>
    <row r="72" spans="1:8" x14ac:dyDescent="0.25">
      <c r="A72" s="20">
        <v>71</v>
      </c>
      <c r="B72" s="20" t="s">
        <v>109</v>
      </c>
      <c r="C72" s="20" t="s">
        <v>110</v>
      </c>
      <c r="D72" t="s">
        <v>169</v>
      </c>
      <c r="E72" s="21" t="s">
        <v>170</v>
      </c>
      <c r="F72" t="s">
        <v>171</v>
      </c>
      <c r="G72"/>
      <c r="H72" s="23"/>
    </row>
    <row r="73" spans="1:8" x14ac:dyDescent="0.25">
      <c r="A73" s="20">
        <v>72</v>
      </c>
      <c r="B73" s="20" t="s">
        <v>109</v>
      </c>
      <c r="C73" s="20" t="s">
        <v>110</v>
      </c>
      <c r="D73" t="s">
        <v>169</v>
      </c>
      <c r="E73" s="21" t="s">
        <v>170</v>
      </c>
      <c r="F73" t="s">
        <v>171</v>
      </c>
      <c r="G73"/>
      <c r="H73" s="23"/>
    </row>
    <row r="74" spans="1:8" x14ac:dyDescent="0.25">
      <c r="A74" s="20">
        <v>73</v>
      </c>
      <c r="B74" s="20" t="s">
        <v>109</v>
      </c>
      <c r="C74" s="20" t="s">
        <v>110</v>
      </c>
      <c r="D74" t="s">
        <v>169</v>
      </c>
      <c r="E74" s="21" t="s">
        <v>170</v>
      </c>
      <c r="F74" t="s">
        <v>204</v>
      </c>
      <c r="G74"/>
      <c r="H74" s="11" t="s">
        <v>380</v>
      </c>
    </row>
    <row r="75" spans="1:8" x14ac:dyDescent="0.25">
      <c r="A75" s="20">
        <v>74</v>
      </c>
      <c r="B75" s="20" t="s">
        <v>109</v>
      </c>
      <c r="C75" s="20" t="s">
        <v>110</v>
      </c>
      <c r="D75" t="s">
        <v>169</v>
      </c>
      <c r="E75" s="21" t="s">
        <v>170</v>
      </c>
      <c r="F75" t="s">
        <v>205</v>
      </c>
      <c r="G75"/>
      <c r="H75" s="23"/>
    </row>
    <row r="76" spans="1:8" x14ac:dyDescent="0.25">
      <c r="A76" s="20">
        <v>75</v>
      </c>
      <c r="B76" s="20" t="s">
        <v>109</v>
      </c>
      <c r="C76" s="20" t="s">
        <v>113</v>
      </c>
      <c r="D76" t="s">
        <v>169</v>
      </c>
      <c r="E76" s="21" t="s">
        <v>170</v>
      </c>
      <c r="F76" s="30" t="s">
        <v>393</v>
      </c>
      <c r="G76"/>
      <c r="H76" s="23"/>
    </row>
    <row r="77" spans="1:8" x14ac:dyDescent="0.25">
      <c r="A77" s="20">
        <v>76</v>
      </c>
      <c r="B77" s="20" t="s">
        <v>109</v>
      </c>
      <c r="C77" s="20" t="s">
        <v>110</v>
      </c>
      <c r="D77" t="s">
        <v>169</v>
      </c>
      <c r="E77" s="21" t="s">
        <v>170</v>
      </c>
      <c r="F77" t="s">
        <v>206</v>
      </c>
      <c r="G77"/>
      <c r="H77" s="23"/>
    </row>
    <row r="78" spans="1:8" x14ac:dyDescent="0.25">
      <c r="A78" s="20">
        <v>77</v>
      </c>
      <c r="B78" s="20" t="s">
        <v>109</v>
      </c>
      <c r="C78" s="20" t="s">
        <v>110</v>
      </c>
      <c r="D78" t="s">
        <v>169</v>
      </c>
      <c r="E78" s="21" t="s">
        <v>170</v>
      </c>
      <c r="F78" t="s">
        <v>207</v>
      </c>
      <c r="G78"/>
      <c r="H78" s="23"/>
    </row>
    <row r="79" spans="1:8" x14ac:dyDescent="0.25">
      <c r="A79" s="20">
        <v>78</v>
      </c>
      <c r="B79" s="20" t="s">
        <v>109</v>
      </c>
      <c r="C79" s="20" t="s">
        <v>110</v>
      </c>
      <c r="D79" t="s">
        <v>169</v>
      </c>
      <c r="E79" s="21" t="s">
        <v>170</v>
      </c>
      <c r="F79" t="s">
        <v>208</v>
      </c>
      <c r="G79"/>
      <c r="H79" s="23"/>
    </row>
    <row r="80" spans="1:8" x14ac:dyDescent="0.25">
      <c r="A80" s="20">
        <v>79</v>
      </c>
      <c r="B80" s="20" t="s">
        <v>109</v>
      </c>
      <c r="C80" s="20" t="s">
        <v>110</v>
      </c>
      <c r="D80" t="s">
        <v>169</v>
      </c>
      <c r="E80" s="21" t="s">
        <v>170</v>
      </c>
      <c r="F80" t="s">
        <v>209</v>
      </c>
      <c r="G80"/>
      <c r="H80" s="23"/>
    </row>
    <row r="81" spans="1:8" x14ac:dyDescent="0.25">
      <c r="A81" s="20">
        <v>80</v>
      </c>
      <c r="B81" s="20" t="s">
        <v>109</v>
      </c>
      <c r="C81" s="20" t="s">
        <v>110</v>
      </c>
      <c r="D81" t="s">
        <v>169</v>
      </c>
      <c r="E81" s="21" t="s">
        <v>170</v>
      </c>
      <c r="F81" t="s">
        <v>210</v>
      </c>
      <c r="G81"/>
      <c r="H81" s="23"/>
    </row>
    <row r="82" spans="1:8" x14ac:dyDescent="0.25">
      <c r="A82" s="20">
        <v>81</v>
      </c>
      <c r="B82" s="20" t="s">
        <v>109</v>
      </c>
      <c r="C82" s="20" t="s">
        <v>110</v>
      </c>
      <c r="D82" t="s">
        <v>169</v>
      </c>
      <c r="E82" s="21" t="s">
        <v>170</v>
      </c>
      <c r="F82" t="s">
        <v>211</v>
      </c>
      <c r="G82"/>
      <c r="H82" s="23"/>
    </row>
    <row r="83" spans="1:8" x14ac:dyDescent="0.25">
      <c r="A83" s="20">
        <v>82</v>
      </c>
      <c r="B83" s="20" t="s">
        <v>109</v>
      </c>
      <c r="C83" s="20" t="s">
        <v>110</v>
      </c>
      <c r="D83" t="s">
        <v>169</v>
      </c>
      <c r="E83" s="21" t="s">
        <v>170</v>
      </c>
      <c r="F83" t="s">
        <v>212</v>
      </c>
      <c r="G83"/>
      <c r="H83" s="23"/>
    </row>
    <row r="84" spans="1:8" x14ac:dyDescent="0.25">
      <c r="A84" s="20">
        <v>83</v>
      </c>
      <c r="B84" s="20" t="s">
        <v>109</v>
      </c>
      <c r="C84" s="20" t="s">
        <v>110</v>
      </c>
      <c r="D84" t="s">
        <v>213</v>
      </c>
      <c r="E84" s="21" t="s">
        <v>170</v>
      </c>
      <c r="F84" t="s">
        <v>214</v>
      </c>
      <c r="G84"/>
      <c r="H84" s="23"/>
    </row>
    <row r="85" spans="1:8" x14ac:dyDescent="0.25">
      <c r="A85" s="20">
        <v>84</v>
      </c>
      <c r="B85" s="20" t="s">
        <v>109</v>
      </c>
      <c r="C85" s="20" t="s">
        <v>110</v>
      </c>
      <c r="D85" t="s">
        <v>215</v>
      </c>
      <c r="E85" s="21" t="s">
        <v>170</v>
      </c>
      <c r="F85" t="s">
        <v>214</v>
      </c>
      <c r="G85"/>
      <c r="H85" s="23"/>
    </row>
    <row r="86" spans="1:8" x14ac:dyDescent="0.25">
      <c r="A86" s="20">
        <v>85</v>
      </c>
      <c r="B86" s="20" t="s">
        <v>109</v>
      </c>
      <c r="C86" s="20" t="s">
        <v>113</v>
      </c>
      <c r="D86" t="s">
        <v>216</v>
      </c>
      <c r="E86" s="21" t="s">
        <v>170</v>
      </c>
      <c r="F86" s="30" t="s">
        <v>395</v>
      </c>
      <c r="G86"/>
      <c r="H86" s="23"/>
    </row>
    <row r="87" spans="1:8" x14ac:dyDescent="0.25">
      <c r="A87" s="20">
        <v>86</v>
      </c>
      <c r="B87" s="20" t="s">
        <v>109</v>
      </c>
      <c r="C87" s="20" t="s">
        <v>113</v>
      </c>
      <c r="D87" t="s">
        <v>217</v>
      </c>
      <c r="E87" s="21" t="s">
        <v>170</v>
      </c>
      <c r="F87" s="30" t="s">
        <v>395</v>
      </c>
      <c r="G87"/>
      <c r="H87" s="23"/>
    </row>
    <row r="88" spans="1:8" x14ac:dyDescent="0.25">
      <c r="A88" s="20">
        <v>87</v>
      </c>
      <c r="B88" s="20" t="s">
        <v>109</v>
      </c>
      <c r="C88" s="20" t="s">
        <v>110</v>
      </c>
      <c r="D88" t="s">
        <v>169</v>
      </c>
      <c r="E88" s="21" t="s">
        <v>170</v>
      </c>
      <c r="F88" t="s">
        <v>218</v>
      </c>
      <c r="G88"/>
      <c r="H88" s="23"/>
    </row>
    <row r="89" spans="1:8" x14ac:dyDescent="0.25">
      <c r="A89" s="20">
        <v>88</v>
      </c>
      <c r="B89" s="20" t="s">
        <v>109</v>
      </c>
      <c r="C89" s="20" t="s">
        <v>113</v>
      </c>
      <c r="D89" t="s">
        <v>169</v>
      </c>
      <c r="E89" s="21" t="s">
        <v>170</v>
      </c>
      <c r="F89" s="30" t="s">
        <v>385</v>
      </c>
      <c r="G89"/>
      <c r="H89" s="23"/>
    </row>
    <row r="90" spans="1:8" x14ac:dyDescent="0.25">
      <c r="A90" s="20">
        <v>89</v>
      </c>
      <c r="B90" s="20" t="s">
        <v>109</v>
      </c>
      <c r="C90" s="20" t="s">
        <v>110</v>
      </c>
      <c r="D90" t="s">
        <v>169</v>
      </c>
      <c r="E90" s="21" t="s">
        <v>170</v>
      </c>
      <c r="F90" t="s">
        <v>219</v>
      </c>
      <c r="G90"/>
      <c r="H90" s="23"/>
    </row>
    <row r="91" spans="1:8" x14ac:dyDescent="0.25">
      <c r="A91" s="20">
        <v>90</v>
      </c>
      <c r="B91" s="20" t="s">
        <v>109</v>
      </c>
      <c r="C91" s="20" t="s">
        <v>110</v>
      </c>
      <c r="D91" t="s">
        <v>169</v>
      </c>
      <c r="E91" s="21" t="s">
        <v>170</v>
      </c>
      <c r="F91" t="s">
        <v>220</v>
      </c>
      <c r="G91"/>
      <c r="H91" s="23"/>
    </row>
    <row r="92" spans="1:8" x14ac:dyDescent="0.25">
      <c r="A92" s="20">
        <v>91</v>
      </c>
      <c r="B92" s="20" t="s">
        <v>109</v>
      </c>
      <c r="C92" s="20" t="s">
        <v>110</v>
      </c>
      <c r="D92" t="s">
        <v>169</v>
      </c>
      <c r="E92" s="21" t="s">
        <v>170</v>
      </c>
      <c r="F92" t="s">
        <v>221</v>
      </c>
      <c r="G92"/>
      <c r="H92" s="23"/>
    </row>
    <row r="93" spans="1:8" x14ac:dyDescent="0.25">
      <c r="A93" s="20">
        <v>92</v>
      </c>
      <c r="B93" s="20" t="s">
        <v>109</v>
      </c>
      <c r="C93" s="20" t="s">
        <v>110</v>
      </c>
      <c r="D93" t="s">
        <v>169</v>
      </c>
      <c r="E93" s="21" t="s">
        <v>170</v>
      </c>
      <c r="F93" t="s">
        <v>222</v>
      </c>
      <c r="G93"/>
      <c r="H93" s="23"/>
    </row>
    <row r="94" spans="1:8" x14ac:dyDescent="0.25">
      <c r="A94" s="20">
        <v>93</v>
      </c>
      <c r="B94" s="20" t="s">
        <v>109</v>
      </c>
      <c r="C94" s="20" t="s">
        <v>110</v>
      </c>
      <c r="D94" t="s">
        <v>169</v>
      </c>
      <c r="E94" s="21" t="s">
        <v>170</v>
      </c>
      <c r="F94" t="s">
        <v>223</v>
      </c>
      <c r="G94"/>
      <c r="H94" s="23"/>
    </row>
    <row r="95" spans="1:8" x14ac:dyDescent="0.25">
      <c r="A95" s="20">
        <v>94</v>
      </c>
      <c r="B95" s="20" t="s">
        <v>109</v>
      </c>
      <c r="C95" s="20" t="s">
        <v>110</v>
      </c>
      <c r="D95" t="s">
        <v>169</v>
      </c>
      <c r="E95" s="21" t="s">
        <v>170</v>
      </c>
      <c r="F95" t="s">
        <v>224</v>
      </c>
      <c r="G95"/>
      <c r="H95" s="23"/>
    </row>
    <row r="96" spans="1:8" x14ac:dyDescent="0.25">
      <c r="A96" s="20">
        <v>95</v>
      </c>
      <c r="B96" s="20" t="s">
        <v>109</v>
      </c>
      <c r="C96" s="20" t="s">
        <v>110</v>
      </c>
      <c r="D96" t="s">
        <v>169</v>
      </c>
      <c r="E96" s="21" t="s">
        <v>170</v>
      </c>
      <c r="F96" t="s">
        <v>225</v>
      </c>
      <c r="G96"/>
      <c r="H96" s="23"/>
    </row>
    <row r="97" spans="1:8" x14ac:dyDescent="0.25">
      <c r="A97" s="20">
        <v>96</v>
      </c>
      <c r="B97" s="20" t="s">
        <v>109</v>
      </c>
      <c r="C97" s="20" t="s">
        <v>110</v>
      </c>
      <c r="D97" t="s">
        <v>169</v>
      </c>
      <c r="E97" s="21" t="s">
        <v>170</v>
      </c>
      <c r="F97" t="s">
        <v>226</v>
      </c>
      <c r="G97"/>
      <c r="H97" s="23"/>
    </row>
    <row r="98" spans="1:8" x14ac:dyDescent="0.25">
      <c r="A98" s="20">
        <v>97</v>
      </c>
      <c r="B98" s="20" t="s">
        <v>109</v>
      </c>
      <c r="C98" s="20" t="s">
        <v>110</v>
      </c>
      <c r="D98" t="s">
        <v>169</v>
      </c>
      <c r="E98" s="21" t="s">
        <v>170</v>
      </c>
      <c r="F98" t="s">
        <v>227</v>
      </c>
      <c r="G98"/>
      <c r="H98" s="23"/>
    </row>
    <row r="99" spans="1:8" x14ac:dyDescent="0.25">
      <c r="A99" s="20">
        <v>98</v>
      </c>
      <c r="B99" s="20" t="s">
        <v>109</v>
      </c>
      <c r="C99" s="20" t="s">
        <v>113</v>
      </c>
      <c r="D99" t="s">
        <v>169</v>
      </c>
      <c r="E99" s="21" t="s">
        <v>170</v>
      </c>
      <c r="F99" s="30" t="s">
        <v>392</v>
      </c>
      <c r="G99"/>
      <c r="H99" s="23"/>
    </row>
    <row r="100" spans="1:8" x14ac:dyDescent="0.25">
      <c r="A100" s="20">
        <v>99</v>
      </c>
      <c r="B100" s="20" t="s">
        <v>109</v>
      </c>
      <c r="C100" s="20" t="s">
        <v>110</v>
      </c>
      <c r="D100" t="s">
        <v>169</v>
      </c>
      <c r="E100" s="21" t="s">
        <v>170</v>
      </c>
      <c r="F100" t="s">
        <v>228</v>
      </c>
      <c r="G100"/>
      <c r="H100" s="23"/>
    </row>
    <row r="101" spans="1:8" x14ac:dyDescent="0.25">
      <c r="A101" s="20">
        <v>100</v>
      </c>
      <c r="B101" s="20" t="s">
        <v>109</v>
      </c>
      <c r="C101" s="20" t="s">
        <v>110</v>
      </c>
      <c r="D101" t="s">
        <v>169</v>
      </c>
      <c r="E101" s="21" t="s">
        <v>170</v>
      </c>
      <c r="F101" t="s">
        <v>229</v>
      </c>
      <c r="G101"/>
      <c r="H101" s="23"/>
    </row>
    <row r="102" spans="1:8" x14ac:dyDescent="0.25">
      <c r="A102" s="20">
        <v>101</v>
      </c>
      <c r="B102" s="20" t="s">
        <v>109</v>
      </c>
      <c r="C102" s="20" t="s">
        <v>110</v>
      </c>
      <c r="D102" t="s">
        <v>169</v>
      </c>
      <c r="E102" s="21" t="s">
        <v>170</v>
      </c>
      <c r="F102" t="s">
        <v>230</v>
      </c>
      <c r="G102"/>
      <c r="H102" s="23"/>
    </row>
    <row r="103" spans="1:8" x14ac:dyDescent="0.25">
      <c r="A103" s="20">
        <v>102</v>
      </c>
      <c r="B103" s="20" t="s">
        <v>109</v>
      </c>
      <c r="C103" s="20" t="s">
        <v>110</v>
      </c>
      <c r="D103" t="s">
        <v>169</v>
      </c>
      <c r="E103" s="21" t="s">
        <v>170</v>
      </c>
      <c r="F103" t="s">
        <v>231</v>
      </c>
      <c r="G103"/>
      <c r="H103" s="23"/>
    </row>
    <row r="104" spans="1:8" x14ac:dyDescent="0.25">
      <c r="A104" s="20">
        <v>103</v>
      </c>
      <c r="B104" s="20" t="s">
        <v>109</v>
      </c>
      <c r="C104" s="20" t="s">
        <v>110</v>
      </c>
      <c r="D104" t="s">
        <v>169</v>
      </c>
      <c r="E104" s="21" t="s">
        <v>170</v>
      </c>
      <c r="F104" t="s">
        <v>232</v>
      </c>
      <c r="G104"/>
      <c r="H104" s="23"/>
    </row>
    <row r="105" spans="1:8" x14ac:dyDescent="0.25">
      <c r="A105" s="20">
        <v>104</v>
      </c>
      <c r="B105" s="20" t="s">
        <v>109</v>
      </c>
      <c r="C105" s="20" t="s">
        <v>110</v>
      </c>
      <c r="D105" t="s">
        <v>169</v>
      </c>
      <c r="E105" s="21" t="s">
        <v>170</v>
      </c>
      <c r="F105" t="s">
        <v>233</v>
      </c>
      <c r="G105"/>
      <c r="H105" s="23"/>
    </row>
    <row r="106" spans="1:8" x14ac:dyDescent="0.25">
      <c r="A106" s="20">
        <v>105</v>
      </c>
      <c r="B106" s="20" t="s">
        <v>109</v>
      </c>
      <c r="C106" s="20" t="s">
        <v>110</v>
      </c>
      <c r="D106" t="s">
        <v>169</v>
      </c>
      <c r="E106" s="21" t="s">
        <v>170</v>
      </c>
      <c r="F106" t="s">
        <v>234</v>
      </c>
      <c r="G106"/>
      <c r="H106" s="23"/>
    </row>
    <row r="107" spans="1:8" x14ac:dyDescent="0.25">
      <c r="A107" s="20">
        <v>106</v>
      </c>
      <c r="B107" s="20" t="s">
        <v>109</v>
      </c>
      <c r="C107" s="20" t="s">
        <v>110</v>
      </c>
      <c r="D107" t="s">
        <v>169</v>
      </c>
      <c r="E107" s="21" t="s">
        <v>170</v>
      </c>
      <c r="F107" t="s">
        <v>235</v>
      </c>
      <c r="G107"/>
      <c r="H107" s="23"/>
    </row>
    <row r="108" spans="1:8" x14ac:dyDescent="0.25">
      <c r="A108" s="20">
        <v>107</v>
      </c>
      <c r="B108" s="20" t="s">
        <v>109</v>
      </c>
      <c r="C108" s="20" t="s">
        <v>110</v>
      </c>
      <c r="D108" t="s">
        <v>169</v>
      </c>
      <c r="E108" s="21" t="s">
        <v>170</v>
      </c>
      <c r="F108" t="s">
        <v>236</v>
      </c>
      <c r="G108"/>
      <c r="H108" s="23"/>
    </row>
    <row r="109" spans="1:8" x14ac:dyDescent="0.25">
      <c r="A109" s="20">
        <v>108</v>
      </c>
      <c r="B109" s="20" t="s">
        <v>109</v>
      </c>
      <c r="C109" s="20" t="s">
        <v>113</v>
      </c>
      <c r="D109" t="s">
        <v>237</v>
      </c>
      <c r="E109" s="21" t="s">
        <v>238</v>
      </c>
      <c r="F109" t="s">
        <v>239</v>
      </c>
      <c r="G109"/>
      <c r="H109" s="23" t="s">
        <v>399</v>
      </c>
    </row>
    <row r="110" spans="1:8" x14ac:dyDescent="0.25">
      <c r="A110" s="20">
        <v>109</v>
      </c>
      <c r="B110" s="10" t="s">
        <v>109</v>
      </c>
      <c r="C110" s="10" t="s">
        <v>112</v>
      </c>
      <c r="D110" s="8" t="s">
        <v>169</v>
      </c>
      <c r="E110" s="13" t="s">
        <v>170</v>
      </c>
      <c r="F110" s="8" t="s">
        <v>379</v>
      </c>
      <c r="G110" s="24"/>
      <c r="H110" s="8" t="s">
        <v>102</v>
      </c>
    </row>
    <row r="111" spans="1:8" x14ac:dyDescent="0.25">
      <c r="A111" s="20">
        <v>110</v>
      </c>
      <c r="B111" s="20" t="s">
        <v>109</v>
      </c>
      <c r="C111" s="20" t="s">
        <v>113</v>
      </c>
      <c r="D111" s="8" t="s">
        <v>169</v>
      </c>
      <c r="E111" s="13" t="s">
        <v>170</v>
      </c>
      <c r="F111" t="s">
        <v>396</v>
      </c>
      <c r="G111"/>
      <c r="H111" s="23"/>
    </row>
    <row r="112" spans="1:8" x14ac:dyDescent="0.25">
      <c r="A112" s="20">
        <v>1</v>
      </c>
      <c r="B112" s="20" t="s">
        <v>114</v>
      </c>
      <c r="C112" s="20" t="s">
        <v>113</v>
      </c>
      <c r="D112" t="s">
        <v>237</v>
      </c>
      <c r="E112" s="21" t="s">
        <v>238</v>
      </c>
      <c r="F112" t="s">
        <v>240</v>
      </c>
      <c r="G112"/>
      <c r="H112" s="23"/>
    </row>
    <row r="113" spans="1:8" x14ac:dyDescent="0.25">
      <c r="A113" s="20">
        <v>2</v>
      </c>
      <c r="B113" s="20" t="s">
        <v>114</v>
      </c>
      <c r="C113" s="20" t="s">
        <v>110</v>
      </c>
      <c r="D113" t="s">
        <v>169</v>
      </c>
      <c r="E113" s="21" t="s">
        <v>170</v>
      </c>
      <c r="F113" t="s">
        <v>171</v>
      </c>
      <c r="G113"/>
      <c r="H113" s="23"/>
    </row>
    <row r="114" spans="1:8" x14ac:dyDescent="0.25">
      <c r="A114" s="20">
        <v>3</v>
      </c>
      <c r="B114" s="20" t="s">
        <v>114</v>
      </c>
      <c r="C114" s="20" t="s">
        <v>110</v>
      </c>
      <c r="D114" t="s">
        <v>169</v>
      </c>
      <c r="E114" s="21" t="s">
        <v>170</v>
      </c>
      <c r="F114" t="s">
        <v>171</v>
      </c>
      <c r="G114"/>
      <c r="H114" s="23"/>
    </row>
    <row r="115" spans="1:8" x14ac:dyDescent="0.25">
      <c r="A115" s="20">
        <v>4</v>
      </c>
      <c r="B115" s="20" t="s">
        <v>114</v>
      </c>
      <c r="C115" s="20" t="s">
        <v>110</v>
      </c>
      <c r="D115" t="s">
        <v>169</v>
      </c>
      <c r="E115" s="21" t="s">
        <v>170</v>
      </c>
      <c r="F115" t="s">
        <v>171</v>
      </c>
      <c r="G115"/>
      <c r="H115" s="23"/>
    </row>
    <row r="116" spans="1:8" x14ac:dyDescent="0.25">
      <c r="A116" s="20">
        <v>5</v>
      </c>
      <c r="B116" s="20" t="s">
        <v>114</v>
      </c>
      <c r="C116" s="20" t="s">
        <v>110</v>
      </c>
      <c r="D116" t="s">
        <v>169</v>
      </c>
      <c r="E116" s="21" t="s">
        <v>170</v>
      </c>
      <c r="F116" t="s">
        <v>241</v>
      </c>
      <c r="G116"/>
      <c r="H116" s="23"/>
    </row>
    <row r="117" spans="1:8" x14ac:dyDescent="0.25">
      <c r="A117" s="20">
        <v>6</v>
      </c>
      <c r="B117" s="20" t="s">
        <v>114</v>
      </c>
      <c r="C117" s="20" t="s">
        <v>113</v>
      </c>
      <c r="D117" t="s">
        <v>169</v>
      </c>
      <c r="E117" s="21" t="s">
        <v>170</v>
      </c>
      <c r="F117" s="30" t="s">
        <v>388</v>
      </c>
      <c r="G117"/>
      <c r="H117" s="23"/>
    </row>
    <row r="118" spans="1:8" x14ac:dyDescent="0.25">
      <c r="A118" s="20">
        <v>7</v>
      </c>
      <c r="B118" s="20" t="s">
        <v>114</v>
      </c>
      <c r="C118" s="20" t="s">
        <v>110</v>
      </c>
      <c r="D118" t="s">
        <v>169</v>
      </c>
      <c r="E118" s="21" t="s">
        <v>170</v>
      </c>
      <c r="F118" t="s">
        <v>242</v>
      </c>
      <c r="G118"/>
      <c r="H118" s="23"/>
    </row>
    <row r="119" spans="1:8" x14ac:dyDescent="0.25">
      <c r="A119" s="20">
        <v>8</v>
      </c>
      <c r="B119" s="20" t="s">
        <v>114</v>
      </c>
      <c r="C119" s="20" t="s">
        <v>110</v>
      </c>
      <c r="D119" t="s">
        <v>169</v>
      </c>
      <c r="E119" s="21" t="s">
        <v>170</v>
      </c>
      <c r="F119" t="s">
        <v>243</v>
      </c>
      <c r="G119"/>
      <c r="H119" s="23"/>
    </row>
    <row r="120" spans="1:8" x14ac:dyDescent="0.25">
      <c r="A120" s="20">
        <v>9</v>
      </c>
      <c r="B120" s="20" t="s">
        <v>114</v>
      </c>
      <c r="C120" s="20" t="s">
        <v>110</v>
      </c>
      <c r="D120" t="s">
        <v>169</v>
      </c>
      <c r="E120" s="21" t="s">
        <v>170</v>
      </c>
      <c r="F120" t="s">
        <v>244</v>
      </c>
      <c r="G120"/>
      <c r="H120" s="23"/>
    </row>
    <row r="121" spans="1:8" x14ac:dyDescent="0.25">
      <c r="A121" s="20">
        <v>10</v>
      </c>
      <c r="B121" s="20" t="s">
        <v>114</v>
      </c>
      <c r="C121" s="20" t="s">
        <v>110</v>
      </c>
      <c r="D121" t="s">
        <v>169</v>
      </c>
      <c r="E121" s="21" t="s">
        <v>170</v>
      </c>
      <c r="F121" t="s">
        <v>245</v>
      </c>
      <c r="G121"/>
      <c r="H121" s="23"/>
    </row>
    <row r="122" spans="1:8" x14ac:dyDescent="0.25">
      <c r="A122" s="20">
        <v>11</v>
      </c>
      <c r="B122" s="20" t="s">
        <v>114</v>
      </c>
      <c r="C122" s="20" t="s">
        <v>110</v>
      </c>
      <c r="D122" t="s">
        <v>169</v>
      </c>
      <c r="E122" s="21" t="s">
        <v>170</v>
      </c>
      <c r="F122" t="s">
        <v>246</v>
      </c>
      <c r="G122"/>
      <c r="H122" s="23"/>
    </row>
    <row r="123" spans="1:8" x14ac:dyDescent="0.25">
      <c r="A123" s="20">
        <v>12</v>
      </c>
      <c r="B123" s="20" t="s">
        <v>114</v>
      </c>
      <c r="C123" s="20" t="s">
        <v>110</v>
      </c>
      <c r="D123" t="s">
        <v>169</v>
      </c>
      <c r="E123" s="21" t="s">
        <v>170</v>
      </c>
      <c r="F123" t="s">
        <v>247</v>
      </c>
      <c r="G123"/>
      <c r="H123" s="23"/>
    </row>
    <row r="124" spans="1:8" x14ac:dyDescent="0.25">
      <c r="A124" s="20">
        <v>13</v>
      </c>
      <c r="B124" s="20" t="s">
        <v>114</v>
      </c>
      <c r="C124" s="20" t="s">
        <v>110</v>
      </c>
      <c r="D124" t="s">
        <v>169</v>
      </c>
      <c r="E124" s="21" t="s">
        <v>170</v>
      </c>
      <c r="F124" t="s">
        <v>248</v>
      </c>
      <c r="G124"/>
      <c r="H124" s="23"/>
    </row>
    <row r="125" spans="1:8" x14ac:dyDescent="0.25">
      <c r="A125" s="20">
        <v>14</v>
      </c>
      <c r="B125" s="20" t="s">
        <v>114</v>
      </c>
      <c r="C125" s="20" t="s">
        <v>110</v>
      </c>
      <c r="D125" t="s">
        <v>169</v>
      </c>
      <c r="E125" s="21" t="s">
        <v>170</v>
      </c>
      <c r="F125" t="s">
        <v>249</v>
      </c>
      <c r="G125"/>
      <c r="H125" s="23"/>
    </row>
    <row r="126" spans="1:8" x14ac:dyDescent="0.25">
      <c r="A126" s="20">
        <v>15</v>
      </c>
      <c r="B126" s="20" t="s">
        <v>114</v>
      </c>
      <c r="C126" s="20" t="s">
        <v>110</v>
      </c>
      <c r="D126" t="s">
        <v>169</v>
      </c>
      <c r="E126" s="21" t="s">
        <v>170</v>
      </c>
      <c r="F126" t="s">
        <v>250</v>
      </c>
      <c r="G126"/>
      <c r="H126" s="23"/>
    </row>
    <row r="127" spans="1:8" x14ac:dyDescent="0.25">
      <c r="A127" s="20">
        <v>16</v>
      </c>
      <c r="B127" s="20" t="s">
        <v>114</v>
      </c>
      <c r="C127" s="20" t="s">
        <v>110</v>
      </c>
      <c r="D127" t="s">
        <v>169</v>
      </c>
      <c r="E127" s="21" t="s">
        <v>170</v>
      </c>
      <c r="F127" t="s">
        <v>251</v>
      </c>
      <c r="G127"/>
      <c r="H127" s="23"/>
    </row>
    <row r="128" spans="1:8" x14ac:dyDescent="0.25">
      <c r="A128" s="20">
        <v>17</v>
      </c>
      <c r="B128" s="20" t="s">
        <v>114</v>
      </c>
      <c r="C128" s="20" t="s">
        <v>110</v>
      </c>
      <c r="D128" t="s">
        <v>169</v>
      </c>
      <c r="E128" s="21" t="s">
        <v>170</v>
      </c>
      <c r="F128" t="s">
        <v>252</v>
      </c>
      <c r="G128"/>
      <c r="H128" s="23"/>
    </row>
    <row r="129" spans="1:8" x14ac:dyDescent="0.25">
      <c r="A129" s="20">
        <v>18</v>
      </c>
      <c r="B129" s="20" t="s">
        <v>114</v>
      </c>
      <c r="C129" s="20" t="s">
        <v>110</v>
      </c>
      <c r="D129" t="s">
        <v>169</v>
      </c>
      <c r="E129" s="21" t="s">
        <v>170</v>
      </c>
      <c r="F129" t="s">
        <v>253</v>
      </c>
      <c r="G129"/>
      <c r="H129" s="23"/>
    </row>
    <row r="130" spans="1:8" x14ac:dyDescent="0.25">
      <c r="A130" s="20">
        <v>19</v>
      </c>
      <c r="B130" s="20" t="s">
        <v>114</v>
      </c>
      <c r="C130" s="20" t="s">
        <v>110</v>
      </c>
      <c r="D130" t="s">
        <v>169</v>
      </c>
      <c r="E130" s="21" t="s">
        <v>170</v>
      </c>
      <c r="F130" t="s">
        <v>254</v>
      </c>
      <c r="G130"/>
      <c r="H130" s="23"/>
    </row>
    <row r="131" spans="1:8" x14ac:dyDescent="0.25">
      <c r="A131" s="20">
        <v>20</v>
      </c>
      <c r="B131" s="20" t="s">
        <v>114</v>
      </c>
      <c r="C131" s="20" t="s">
        <v>110</v>
      </c>
      <c r="D131" t="s">
        <v>169</v>
      </c>
      <c r="E131" s="21" t="s">
        <v>170</v>
      </c>
      <c r="F131" t="s">
        <v>255</v>
      </c>
      <c r="G131"/>
      <c r="H131" s="23"/>
    </row>
    <row r="132" spans="1:8" x14ac:dyDescent="0.25">
      <c r="A132" s="20">
        <v>21</v>
      </c>
      <c r="B132" s="20" t="s">
        <v>114</v>
      </c>
      <c r="C132" s="20" t="s">
        <v>110</v>
      </c>
      <c r="D132" t="s">
        <v>169</v>
      </c>
      <c r="E132" s="21" t="s">
        <v>170</v>
      </c>
      <c r="F132" t="s">
        <v>256</v>
      </c>
      <c r="G132"/>
      <c r="H132" s="23"/>
    </row>
    <row r="133" spans="1:8" x14ac:dyDescent="0.25">
      <c r="A133" s="20">
        <v>22</v>
      </c>
      <c r="B133" s="20" t="s">
        <v>114</v>
      </c>
      <c r="C133" s="20" t="s">
        <v>113</v>
      </c>
      <c r="D133" t="s">
        <v>169</v>
      </c>
      <c r="E133" s="21" t="s">
        <v>170</v>
      </c>
      <c r="F133" s="30" t="s">
        <v>389</v>
      </c>
      <c r="G133"/>
      <c r="H133" s="23"/>
    </row>
    <row r="134" spans="1:8" x14ac:dyDescent="0.25">
      <c r="A134" s="20">
        <v>23</v>
      </c>
      <c r="B134" s="20" t="s">
        <v>114</v>
      </c>
      <c r="C134" s="20" t="s">
        <v>110</v>
      </c>
      <c r="D134" t="s">
        <v>169</v>
      </c>
      <c r="E134" s="21" t="s">
        <v>170</v>
      </c>
      <c r="F134" t="s">
        <v>257</v>
      </c>
      <c r="G134"/>
      <c r="H134" s="23"/>
    </row>
    <row r="135" spans="1:8" x14ac:dyDescent="0.25">
      <c r="A135" s="20">
        <v>24</v>
      </c>
      <c r="B135" s="20" t="s">
        <v>114</v>
      </c>
      <c r="C135" s="20" t="s">
        <v>110</v>
      </c>
      <c r="D135" t="s">
        <v>169</v>
      </c>
      <c r="E135" s="21" t="s">
        <v>170</v>
      </c>
      <c r="F135" t="s">
        <v>258</v>
      </c>
      <c r="G135"/>
      <c r="H135" s="23"/>
    </row>
    <row r="136" spans="1:8" x14ac:dyDescent="0.25">
      <c r="A136" s="20">
        <v>25</v>
      </c>
      <c r="B136" s="20" t="s">
        <v>114</v>
      </c>
      <c r="C136" s="20" t="s">
        <v>110</v>
      </c>
      <c r="D136" t="s">
        <v>169</v>
      </c>
      <c r="E136" s="21" t="s">
        <v>170</v>
      </c>
      <c r="F136" t="s">
        <v>259</v>
      </c>
      <c r="G136"/>
      <c r="H136" s="23"/>
    </row>
    <row r="137" spans="1:8" x14ac:dyDescent="0.25">
      <c r="A137" s="20">
        <v>26</v>
      </c>
      <c r="B137" s="20" t="s">
        <v>114</v>
      </c>
      <c r="C137" s="20" t="s">
        <v>110</v>
      </c>
      <c r="D137" t="s">
        <v>169</v>
      </c>
      <c r="E137" s="21" t="s">
        <v>170</v>
      </c>
      <c r="F137" t="s">
        <v>260</v>
      </c>
      <c r="G137"/>
      <c r="H137" s="23"/>
    </row>
    <row r="138" spans="1:8" x14ac:dyDescent="0.25">
      <c r="A138" s="20">
        <v>27</v>
      </c>
      <c r="B138" s="20" t="s">
        <v>114</v>
      </c>
      <c r="C138" s="20" t="s">
        <v>110</v>
      </c>
      <c r="D138" t="s">
        <v>169</v>
      </c>
      <c r="E138" s="21" t="s">
        <v>170</v>
      </c>
      <c r="F138" t="s">
        <v>261</v>
      </c>
      <c r="G138"/>
      <c r="H138" s="23"/>
    </row>
    <row r="139" spans="1:8" x14ac:dyDescent="0.25">
      <c r="A139" s="20">
        <v>28</v>
      </c>
      <c r="B139" s="20" t="s">
        <v>114</v>
      </c>
      <c r="C139" s="20" t="s">
        <v>110</v>
      </c>
      <c r="D139" t="s">
        <v>169</v>
      </c>
      <c r="E139" s="21" t="s">
        <v>170</v>
      </c>
      <c r="F139" t="s">
        <v>262</v>
      </c>
      <c r="G139"/>
      <c r="H139" s="23"/>
    </row>
    <row r="140" spans="1:8" x14ac:dyDescent="0.25">
      <c r="A140" s="20">
        <v>29</v>
      </c>
      <c r="B140" s="20" t="s">
        <v>114</v>
      </c>
      <c r="C140" s="20" t="s">
        <v>110</v>
      </c>
      <c r="D140" t="s">
        <v>169</v>
      </c>
      <c r="E140" s="21" t="s">
        <v>170</v>
      </c>
      <c r="F140" t="s">
        <v>263</v>
      </c>
      <c r="G140"/>
      <c r="H140" s="23"/>
    </row>
    <row r="141" spans="1:8" x14ac:dyDescent="0.25">
      <c r="A141" s="20">
        <v>30</v>
      </c>
      <c r="B141" s="20" t="s">
        <v>114</v>
      </c>
      <c r="C141" s="20" t="s">
        <v>110</v>
      </c>
      <c r="D141" t="s">
        <v>169</v>
      </c>
      <c r="E141" s="21" t="s">
        <v>170</v>
      </c>
      <c r="F141" t="s">
        <v>264</v>
      </c>
      <c r="G141"/>
      <c r="H141" s="23"/>
    </row>
    <row r="142" spans="1:8" x14ac:dyDescent="0.25">
      <c r="A142" s="20">
        <v>31</v>
      </c>
      <c r="B142" s="20" t="s">
        <v>114</v>
      </c>
      <c r="C142" s="20" t="s">
        <v>113</v>
      </c>
      <c r="D142" t="s">
        <v>169</v>
      </c>
      <c r="E142" s="21" t="s">
        <v>170</v>
      </c>
      <c r="F142" s="30" t="s">
        <v>383</v>
      </c>
      <c r="G142"/>
      <c r="H142" s="23"/>
    </row>
    <row r="143" spans="1:8" x14ac:dyDescent="0.25">
      <c r="A143" s="20">
        <v>32</v>
      </c>
      <c r="B143" s="20" t="s">
        <v>114</v>
      </c>
      <c r="C143" s="20" t="s">
        <v>110</v>
      </c>
      <c r="D143" t="s">
        <v>169</v>
      </c>
      <c r="E143" s="21" t="s">
        <v>170</v>
      </c>
      <c r="F143" t="s">
        <v>265</v>
      </c>
      <c r="G143"/>
      <c r="H143" s="23"/>
    </row>
    <row r="144" spans="1:8" x14ac:dyDescent="0.25">
      <c r="A144" s="20">
        <v>33</v>
      </c>
      <c r="B144" s="20" t="s">
        <v>114</v>
      </c>
      <c r="C144" s="20" t="s">
        <v>110</v>
      </c>
      <c r="D144" t="s">
        <v>169</v>
      </c>
      <c r="E144" s="21" t="s">
        <v>170</v>
      </c>
      <c r="F144" t="s">
        <v>266</v>
      </c>
      <c r="G144"/>
      <c r="H144" s="23"/>
    </row>
    <row r="145" spans="1:8" x14ac:dyDescent="0.25">
      <c r="A145" s="20">
        <v>34</v>
      </c>
      <c r="B145" s="20" t="s">
        <v>114</v>
      </c>
      <c r="C145" s="20" t="s">
        <v>110</v>
      </c>
      <c r="D145" t="s">
        <v>169</v>
      </c>
      <c r="E145" s="21" t="s">
        <v>170</v>
      </c>
      <c r="F145" t="s">
        <v>267</v>
      </c>
      <c r="G145"/>
      <c r="H145" s="23"/>
    </row>
    <row r="146" spans="1:8" x14ac:dyDescent="0.25">
      <c r="A146" s="20">
        <v>35</v>
      </c>
      <c r="B146" s="20" t="s">
        <v>114</v>
      </c>
      <c r="C146" s="20" t="s">
        <v>110</v>
      </c>
      <c r="D146" t="s">
        <v>169</v>
      </c>
      <c r="E146" s="21" t="s">
        <v>170</v>
      </c>
      <c r="F146" t="s">
        <v>268</v>
      </c>
      <c r="G146"/>
      <c r="H146" s="23"/>
    </row>
    <row r="147" spans="1:8" x14ac:dyDescent="0.25">
      <c r="A147" s="20">
        <v>36</v>
      </c>
      <c r="B147" s="20" t="s">
        <v>114</v>
      </c>
      <c r="C147" s="20" t="s">
        <v>110</v>
      </c>
      <c r="D147" t="s">
        <v>169</v>
      </c>
      <c r="E147" s="21" t="s">
        <v>170</v>
      </c>
      <c r="F147" t="s">
        <v>269</v>
      </c>
      <c r="G147"/>
      <c r="H147" s="23"/>
    </row>
    <row r="148" spans="1:8" x14ac:dyDescent="0.25">
      <c r="A148" s="20">
        <v>37</v>
      </c>
      <c r="B148" s="20" t="s">
        <v>114</v>
      </c>
      <c r="C148" s="20" t="s">
        <v>110</v>
      </c>
      <c r="D148" t="s">
        <v>169</v>
      </c>
      <c r="E148" s="21" t="s">
        <v>170</v>
      </c>
      <c r="F148" t="s">
        <v>270</v>
      </c>
      <c r="G148"/>
      <c r="H148" s="23"/>
    </row>
    <row r="149" spans="1:8" x14ac:dyDescent="0.25">
      <c r="A149" s="20">
        <v>38</v>
      </c>
      <c r="B149" s="20" t="s">
        <v>114</v>
      </c>
      <c r="C149" s="20" t="s">
        <v>110</v>
      </c>
      <c r="D149" t="s">
        <v>169</v>
      </c>
      <c r="E149" s="21" t="s">
        <v>170</v>
      </c>
      <c r="F149" t="s">
        <v>271</v>
      </c>
      <c r="G149"/>
      <c r="H149" s="23"/>
    </row>
    <row r="150" spans="1:8" x14ac:dyDescent="0.25">
      <c r="A150" s="20">
        <v>39</v>
      </c>
      <c r="B150" s="20" t="s">
        <v>114</v>
      </c>
      <c r="C150" s="20" t="s">
        <v>110</v>
      </c>
      <c r="D150" t="s">
        <v>169</v>
      </c>
      <c r="E150" s="21" t="s">
        <v>170</v>
      </c>
      <c r="F150" t="s">
        <v>272</v>
      </c>
      <c r="G150"/>
      <c r="H150" s="23"/>
    </row>
    <row r="151" spans="1:8" x14ac:dyDescent="0.25">
      <c r="A151" s="20">
        <v>40</v>
      </c>
      <c r="B151" s="20" t="s">
        <v>114</v>
      </c>
      <c r="C151" s="20" t="s">
        <v>113</v>
      </c>
      <c r="D151" t="s">
        <v>169</v>
      </c>
      <c r="E151" s="21" t="s">
        <v>170</v>
      </c>
      <c r="F151" s="30" t="s">
        <v>384</v>
      </c>
      <c r="G151"/>
      <c r="H151" s="23"/>
    </row>
    <row r="152" spans="1:8" x14ac:dyDescent="0.25">
      <c r="A152" s="20">
        <v>41</v>
      </c>
      <c r="B152" s="20" t="s">
        <v>114</v>
      </c>
      <c r="C152" s="20" t="s">
        <v>110</v>
      </c>
      <c r="D152" t="s">
        <v>169</v>
      </c>
      <c r="E152" s="21" t="s">
        <v>170</v>
      </c>
      <c r="F152" t="s">
        <v>171</v>
      </c>
      <c r="G152"/>
      <c r="H152" s="23"/>
    </row>
    <row r="153" spans="1:8" x14ac:dyDescent="0.25">
      <c r="A153" s="20">
        <v>42</v>
      </c>
      <c r="B153" s="20" t="s">
        <v>114</v>
      </c>
      <c r="C153" s="20" t="s">
        <v>110</v>
      </c>
      <c r="D153" t="s">
        <v>169</v>
      </c>
      <c r="E153" s="21" t="s">
        <v>170</v>
      </c>
      <c r="F153" t="s">
        <v>171</v>
      </c>
      <c r="G153"/>
      <c r="H153" s="23"/>
    </row>
    <row r="154" spans="1:8" x14ac:dyDescent="0.25">
      <c r="A154" s="20">
        <v>43</v>
      </c>
      <c r="B154" s="20" t="s">
        <v>114</v>
      </c>
      <c r="C154" s="20" t="s">
        <v>110</v>
      </c>
      <c r="D154" t="s">
        <v>169</v>
      </c>
      <c r="E154" s="21" t="s">
        <v>170</v>
      </c>
      <c r="F154" t="s">
        <v>171</v>
      </c>
      <c r="G154"/>
      <c r="H154" s="23"/>
    </row>
    <row r="155" spans="1:8" x14ac:dyDescent="0.25">
      <c r="A155" s="20">
        <v>44</v>
      </c>
      <c r="B155" s="20" t="s">
        <v>114</v>
      </c>
      <c r="C155" s="20" t="s">
        <v>110</v>
      </c>
      <c r="D155" t="s">
        <v>169</v>
      </c>
      <c r="E155" s="21" t="s">
        <v>170</v>
      </c>
      <c r="F155" t="s">
        <v>273</v>
      </c>
      <c r="G155"/>
      <c r="H155" s="23"/>
    </row>
    <row r="156" spans="1:8" x14ac:dyDescent="0.25">
      <c r="A156" s="20">
        <v>45</v>
      </c>
      <c r="B156" s="20" t="s">
        <v>114</v>
      </c>
      <c r="C156" s="20" t="s">
        <v>110</v>
      </c>
      <c r="D156" t="s">
        <v>169</v>
      </c>
      <c r="E156" s="21" t="s">
        <v>170</v>
      </c>
      <c r="F156" t="s">
        <v>274</v>
      </c>
      <c r="G156"/>
      <c r="H156" s="23"/>
    </row>
    <row r="157" spans="1:8" x14ac:dyDescent="0.25">
      <c r="A157" s="20">
        <v>46</v>
      </c>
      <c r="B157" s="20" t="s">
        <v>114</v>
      </c>
      <c r="C157" s="20" t="s">
        <v>113</v>
      </c>
      <c r="D157" t="s">
        <v>169</v>
      </c>
      <c r="E157" s="21" t="s">
        <v>170</v>
      </c>
      <c r="F157" s="30" t="s">
        <v>390</v>
      </c>
      <c r="G157"/>
      <c r="H157" s="23"/>
    </row>
    <row r="158" spans="1:8" x14ac:dyDescent="0.25">
      <c r="A158" s="20">
        <v>47</v>
      </c>
      <c r="B158" s="20" t="s">
        <v>114</v>
      </c>
      <c r="C158" s="20" t="s">
        <v>110</v>
      </c>
      <c r="D158" t="s">
        <v>169</v>
      </c>
      <c r="E158" s="21" t="s">
        <v>170</v>
      </c>
      <c r="F158" t="s">
        <v>275</v>
      </c>
      <c r="G158"/>
      <c r="H158" s="23"/>
    </row>
    <row r="159" spans="1:8" x14ac:dyDescent="0.25">
      <c r="A159" s="20">
        <v>48</v>
      </c>
      <c r="B159" s="20" t="s">
        <v>114</v>
      </c>
      <c r="C159" s="20" t="s">
        <v>110</v>
      </c>
      <c r="D159" t="s">
        <v>169</v>
      </c>
      <c r="E159" s="21" t="s">
        <v>170</v>
      </c>
      <c r="F159" t="s">
        <v>276</v>
      </c>
      <c r="G159"/>
      <c r="H159" s="23"/>
    </row>
    <row r="160" spans="1:8" x14ac:dyDescent="0.25">
      <c r="A160" s="20">
        <v>49</v>
      </c>
      <c r="B160" s="20" t="s">
        <v>114</v>
      </c>
      <c r="C160" s="20" t="s">
        <v>110</v>
      </c>
      <c r="D160" t="s">
        <v>169</v>
      </c>
      <c r="E160" s="21" t="s">
        <v>170</v>
      </c>
      <c r="F160" t="s">
        <v>277</v>
      </c>
      <c r="G160"/>
      <c r="H160" s="23"/>
    </row>
    <row r="161" spans="1:8" x14ac:dyDescent="0.25">
      <c r="A161" s="20">
        <v>50</v>
      </c>
      <c r="B161" s="20" t="s">
        <v>114</v>
      </c>
      <c r="C161" s="20" t="s">
        <v>110</v>
      </c>
      <c r="D161" t="s">
        <v>169</v>
      </c>
      <c r="E161" s="21" t="s">
        <v>170</v>
      </c>
      <c r="F161" t="s">
        <v>278</v>
      </c>
      <c r="G161"/>
      <c r="H161" s="23"/>
    </row>
    <row r="162" spans="1:8" x14ac:dyDescent="0.25">
      <c r="A162" s="20">
        <v>51</v>
      </c>
      <c r="B162" s="20" t="s">
        <v>114</v>
      </c>
      <c r="C162" s="20" t="s">
        <v>110</v>
      </c>
      <c r="D162" t="s">
        <v>169</v>
      </c>
      <c r="E162" s="21" t="s">
        <v>170</v>
      </c>
      <c r="F162" t="s">
        <v>279</v>
      </c>
      <c r="G162"/>
      <c r="H162" s="23"/>
    </row>
    <row r="163" spans="1:8" x14ac:dyDescent="0.25">
      <c r="A163" s="20">
        <v>52</v>
      </c>
      <c r="B163" s="20" t="s">
        <v>114</v>
      </c>
      <c r="C163" s="20" t="s">
        <v>110</v>
      </c>
      <c r="D163" t="s">
        <v>169</v>
      </c>
      <c r="E163" s="21" t="s">
        <v>170</v>
      </c>
      <c r="F163" t="s">
        <v>280</v>
      </c>
      <c r="G163"/>
      <c r="H163" s="23"/>
    </row>
    <row r="164" spans="1:8" x14ac:dyDescent="0.25">
      <c r="A164" s="20">
        <v>53</v>
      </c>
      <c r="B164" s="20" t="s">
        <v>114</v>
      </c>
      <c r="C164" s="20" t="s">
        <v>110</v>
      </c>
      <c r="D164" t="s">
        <v>169</v>
      </c>
      <c r="E164" s="21" t="s">
        <v>170</v>
      </c>
      <c r="F164" t="s">
        <v>281</v>
      </c>
      <c r="G164"/>
      <c r="H164" s="23"/>
    </row>
    <row r="165" spans="1:8" x14ac:dyDescent="0.25">
      <c r="A165" s="20">
        <v>54</v>
      </c>
      <c r="B165" s="20" t="s">
        <v>114</v>
      </c>
      <c r="C165" s="20" t="s">
        <v>110</v>
      </c>
      <c r="D165" t="s">
        <v>213</v>
      </c>
      <c r="E165" s="21" t="s">
        <v>170</v>
      </c>
      <c r="F165" t="s">
        <v>282</v>
      </c>
      <c r="G165"/>
      <c r="H165" s="23"/>
    </row>
    <row r="166" spans="1:8" x14ac:dyDescent="0.25">
      <c r="A166" s="20">
        <v>55</v>
      </c>
      <c r="B166" s="20" t="s">
        <v>114</v>
      </c>
      <c r="C166" s="20" t="s">
        <v>110</v>
      </c>
      <c r="D166" t="s">
        <v>215</v>
      </c>
      <c r="E166" s="21" t="s">
        <v>170</v>
      </c>
      <c r="F166" t="s">
        <v>282</v>
      </c>
      <c r="G166"/>
      <c r="H166" s="23"/>
    </row>
    <row r="167" spans="1:8" x14ac:dyDescent="0.25">
      <c r="A167" s="20">
        <v>56</v>
      </c>
      <c r="B167" s="20" t="s">
        <v>114</v>
      </c>
      <c r="C167" s="20" t="s">
        <v>113</v>
      </c>
      <c r="D167" t="s">
        <v>216</v>
      </c>
      <c r="E167" s="21" t="s">
        <v>170</v>
      </c>
      <c r="F167" s="30" t="s">
        <v>398</v>
      </c>
      <c r="G167"/>
      <c r="H167" s="23"/>
    </row>
    <row r="168" spans="1:8" x14ac:dyDescent="0.25">
      <c r="A168" s="20">
        <v>57</v>
      </c>
      <c r="B168" s="20" t="s">
        <v>114</v>
      </c>
      <c r="C168" s="20" t="s">
        <v>113</v>
      </c>
      <c r="D168" t="s">
        <v>217</v>
      </c>
      <c r="E168" s="21" t="s">
        <v>170</v>
      </c>
      <c r="F168" s="30" t="s">
        <v>398</v>
      </c>
      <c r="G168"/>
      <c r="H168" s="23"/>
    </row>
    <row r="169" spans="1:8" x14ac:dyDescent="0.25">
      <c r="A169" s="20">
        <v>58</v>
      </c>
      <c r="B169" s="20" t="s">
        <v>114</v>
      </c>
      <c r="C169" s="20" t="s">
        <v>110</v>
      </c>
      <c r="D169" t="s">
        <v>169</v>
      </c>
      <c r="E169" s="21" t="s">
        <v>170</v>
      </c>
      <c r="F169" t="s">
        <v>283</v>
      </c>
      <c r="G169"/>
      <c r="H169" s="23"/>
    </row>
    <row r="170" spans="1:8" x14ac:dyDescent="0.25">
      <c r="A170" s="20">
        <v>59</v>
      </c>
      <c r="B170" s="20" t="s">
        <v>114</v>
      </c>
      <c r="C170" s="20" t="s">
        <v>113</v>
      </c>
      <c r="D170" t="s">
        <v>169</v>
      </c>
      <c r="E170" s="21" t="s">
        <v>170</v>
      </c>
      <c r="F170" s="30" t="s">
        <v>387</v>
      </c>
      <c r="G170"/>
      <c r="H170" s="23"/>
    </row>
    <row r="171" spans="1:8" x14ac:dyDescent="0.25">
      <c r="A171" s="20">
        <v>60</v>
      </c>
      <c r="B171" s="20" t="s">
        <v>114</v>
      </c>
      <c r="C171" s="20" t="s">
        <v>110</v>
      </c>
      <c r="D171" t="s">
        <v>169</v>
      </c>
      <c r="E171" s="21" t="s">
        <v>170</v>
      </c>
      <c r="F171" t="s">
        <v>284</v>
      </c>
      <c r="G171"/>
      <c r="H171" s="23"/>
    </row>
    <row r="172" spans="1:8" x14ac:dyDescent="0.25">
      <c r="A172" s="20">
        <v>61</v>
      </c>
      <c r="B172" s="20" t="s">
        <v>114</v>
      </c>
      <c r="C172" s="20" t="s">
        <v>110</v>
      </c>
      <c r="D172" t="s">
        <v>169</v>
      </c>
      <c r="E172" s="21" t="s">
        <v>170</v>
      </c>
      <c r="F172" t="s">
        <v>285</v>
      </c>
      <c r="G172"/>
      <c r="H172" s="23"/>
    </row>
    <row r="173" spans="1:8" x14ac:dyDescent="0.25">
      <c r="A173" s="20">
        <v>62</v>
      </c>
      <c r="B173" s="20" t="s">
        <v>114</v>
      </c>
      <c r="C173" s="20" t="s">
        <v>110</v>
      </c>
      <c r="D173" t="s">
        <v>169</v>
      </c>
      <c r="E173" s="21" t="s">
        <v>170</v>
      </c>
      <c r="F173" t="s">
        <v>286</v>
      </c>
      <c r="G173"/>
      <c r="H173" s="23"/>
    </row>
    <row r="174" spans="1:8" x14ac:dyDescent="0.25">
      <c r="A174" s="20">
        <v>63</v>
      </c>
      <c r="B174" s="20" t="s">
        <v>114</v>
      </c>
      <c r="C174" s="20" t="s">
        <v>110</v>
      </c>
      <c r="D174" t="s">
        <v>169</v>
      </c>
      <c r="E174" s="21" t="s">
        <v>170</v>
      </c>
      <c r="F174" t="s">
        <v>287</v>
      </c>
      <c r="G174"/>
      <c r="H174" s="23"/>
    </row>
    <row r="175" spans="1:8" x14ac:dyDescent="0.25">
      <c r="A175" s="20">
        <v>64</v>
      </c>
      <c r="B175" s="20" t="s">
        <v>114</v>
      </c>
      <c r="C175" s="20" t="s">
        <v>110</v>
      </c>
      <c r="D175" t="s">
        <v>169</v>
      </c>
      <c r="E175" s="21" t="s">
        <v>170</v>
      </c>
      <c r="F175" t="s">
        <v>288</v>
      </c>
      <c r="G175"/>
      <c r="H175" s="23"/>
    </row>
    <row r="176" spans="1:8" x14ac:dyDescent="0.25">
      <c r="A176" s="20">
        <v>65</v>
      </c>
      <c r="B176" s="20" t="s">
        <v>114</v>
      </c>
      <c r="C176" s="20" t="s">
        <v>110</v>
      </c>
      <c r="D176" t="s">
        <v>169</v>
      </c>
      <c r="E176" s="21" t="s">
        <v>170</v>
      </c>
      <c r="F176" t="s">
        <v>289</v>
      </c>
      <c r="G176"/>
      <c r="H176" s="23"/>
    </row>
    <row r="177" spans="1:8" x14ac:dyDescent="0.25">
      <c r="A177" s="20">
        <v>66</v>
      </c>
      <c r="B177" s="20" t="s">
        <v>114</v>
      </c>
      <c r="C177" s="20" t="s">
        <v>110</v>
      </c>
      <c r="D177" t="s">
        <v>169</v>
      </c>
      <c r="E177" s="21" t="s">
        <v>170</v>
      </c>
      <c r="F177" t="s">
        <v>290</v>
      </c>
      <c r="G177"/>
      <c r="H177" s="23"/>
    </row>
    <row r="178" spans="1:8" x14ac:dyDescent="0.25">
      <c r="A178" s="20">
        <v>67</v>
      </c>
      <c r="B178" s="20" t="s">
        <v>114</v>
      </c>
      <c r="C178" s="20" t="s">
        <v>110</v>
      </c>
      <c r="D178" t="s">
        <v>169</v>
      </c>
      <c r="E178" s="21" t="s">
        <v>170</v>
      </c>
      <c r="F178" t="s">
        <v>291</v>
      </c>
      <c r="G178"/>
      <c r="H178" s="23"/>
    </row>
    <row r="179" spans="1:8" x14ac:dyDescent="0.25">
      <c r="A179" s="20">
        <v>68</v>
      </c>
      <c r="B179" s="20" t="s">
        <v>114</v>
      </c>
      <c r="C179" s="20" t="s">
        <v>110</v>
      </c>
      <c r="D179" t="s">
        <v>169</v>
      </c>
      <c r="E179" s="21" t="s">
        <v>170</v>
      </c>
      <c r="F179" t="s">
        <v>292</v>
      </c>
      <c r="G179"/>
      <c r="H179" s="23"/>
    </row>
    <row r="180" spans="1:8" x14ac:dyDescent="0.25">
      <c r="A180" s="20">
        <v>69</v>
      </c>
      <c r="B180" s="20" t="s">
        <v>114</v>
      </c>
      <c r="C180" s="20" t="s">
        <v>113</v>
      </c>
      <c r="D180" t="s">
        <v>169</v>
      </c>
      <c r="E180" s="21" t="s">
        <v>170</v>
      </c>
      <c r="F180" s="30" t="s">
        <v>391</v>
      </c>
      <c r="G180"/>
      <c r="H180" s="23"/>
    </row>
    <row r="181" spans="1:8" x14ac:dyDescent="0.25">
      <c r="A181" s="20">
        <v>70</v>
      </c>
      <c r="B181" s="20" t="s">
        <v>114</v>
      </c>
      <c r="C181" s="20" t="s">
        <v>110</v>
      </c>
      <c r="D181" t="s">
        <v>169</v>
      </c>
      <c r="E181" s="21" t="s">
        <v>170</v>
      </c>
      <c r="F181" t="s">
        <v>293</v>
      </c>
      <c r="G181"/>
      <c r="H181" s="23"/>
    </row>
    <row r="182" spans="1:8" x14ac:dyDescent="0.25">
      <c r="A182" s="20">
        <v>71</v>
      </c>
      <c r="B182" s="20" t="s">
        <v>114</v>
      </c>
      <c r="C182" s="20" t="s">
        <v>110</v>
      </c>
      <c r="D182" t="s">
        <v>169</v>
      </c>
      <c r="E182" s="21" t="s">
        <v>170</v>
      </c>
      <c r="F182" t="s">
        <v>294</v>
      </c>
      <c r="G182"/>
      <c r="H182" s="23"/>
    </row>
    <row r="183" spans="1:8" x14ac:dyDescent="0.25">
      <c r="A183" s="20">
        <v>72</v>
      </c>
      <c r="B183" s="20" t="s">
        <v>114</v>
      </c>
      <c r="C183" s="20" t="s">
        <v>110</v>
      </c>
      <c r="D183" t="s">
        <v>169</v>
      </c>
      <c r="E183" s="21" t="s">
        <v>170</v>
      </c>
      <c r="F183" t="s">
        <v>295</v>
      </c>
      <c r="G183"/>
      <c r="H183" s="23"/>
    </row>
    <row r="184" spans="1:8" x14ac:dyDescent="0.25">
      <c r="A184" s="20">
        <v>73</v>
      </c>
      <c r="B184" s="20" t="s">
        <v>114</v>
      </c>
      <c r="C184" s="20" t="s">
        <v>110</v>
      </c>
      <c r="D184" t="s">
        <v>169</v>
      </c>
      <c r="E184" s="21" t="s">
        <v>170</v>
      </c>
      <c r="F184" t="s">
        <v>296</v>
      </c>
      <c r="G184"/>
      <c r="H184" s="23"/>
    </row>
    <row r="185" spans="1:8" x14ac:dyDescent="0.25">
      <c r="A185" s="20">
        <v>74</v>
      </c>
      <c r="B185" s="20" t="s">
        <v>114</v>
      </c>
      <c r="C185" s="20" t="s">
        <v>110</v>
      </c>
      <c r="D185" t="s">
        <v>169</v>
      </c>
      <c r="E185" s="21" t="s">
        <v>170</v>
      </c>
      <c r="F185" t="s">
        <v>297</v>
      </c>
      <c r="G185"/>
      <c r="H185" s="23"/>
    </row>
    <row r="186" spans="1:8" x14ac:dyDescent="0.25">
      <c r="A186" s="20">
        <v>75</v>
      </c>
      <c r="B186" s="20" t="s">
        <v>114</v>
      </c>
      <c r="C186" s="20" t="s">
        <v>110</v>
      </c>
      <c r="D186" t="s">
        <v>169</v>
      </c>
      <c r="E186" s="21" t="s">
        <v>170</v>
      </c>
      <c r="F186" t="s">
        <v>298</v>
      </c>
      <c r="G186"/>
      <c r="H186" s="23"/>
    </row>
    <row r="187" spans="1:8" x14ac:dyDescent="0.25">
      <c r="A187" s="20">
        <v>76</v>
      </c>
      <c r="B187" s="20" t="s">
        <v>114</v>
      </c>
      <c r="C187" s="20" t="s">
        <v>110</v>
      </c>
      <c r="D187" t="s">
        <v>169</v>
      </c>
      <c r="E187" s="21" t="s">
        <v>170</v>
      </c>
      <c r="F187" t="s">
        <v>299</v>
      </c>
      <c r="G187"/>
      <c r="H187" s="23"/>
    </row>
    <row r="188" spans="1:8" x14ac:dyDescent="0.25">
      <c r="A188" s="20">
        <v>77</v>
      </c>
      <c r="B188" s="20" t="s">
        <v>114</v>
      </c>
      <c r="C188" s="20" t="s">
        <v>110</v>
      </c>
      <c r="D188" t="s">
        <v>169</v>
      </c>
      <c r="E188" s="21" t="s">
        <v>170</v>
      </c>
      <c r="F188" t="s">
        <v>300</v>
      </c>
      <c r="G188"/>
      <c r="H188" s="23"/>
    </row>
    <row r="189" spans="1:8" x14ac:dyDescent="0.25">
      <c r="A189" s="20">
        <v>78</v>
      </c>
      <c r="B189" s="20" t="s">
        <v>114</v>
      </c>
      <c r="C189" s="20" t="s">
        <v>110</v>
      </c>
      <c r="D189" t="s">
        <v>169</v>
      </c>
      <c r="E189" s="21" t="s">
        <v>170</v>
      </c>
      <c r="F189" t="s">
        <v>301</v>
      </c>
      <c r="G189"/>
      <c r="H189" s="23"/>
    </row>
    <row r="190" spans="1:8" x14ac:dyDescent="0.25">
      <c r="A190" s="10">
        <v>79</v>
      </c>
      <c r="B190" s="10" t="s">
        <v>114</v>
      </c>
      <c r="C190" s="10" t="s">
        <v>112</v>
      </c>
      <c r="D190" s="8" t="s">
        <v>169</v>
      </c>
      <c r="E190" s="13" t="s">
        <v>170</v>
      </c>
      <c r="F190" s="8" t="s">
        <v>379</v>
      </c>
      <c r="G190" s="24"/>
      <c r="H190" s="13" t="s">
        <v>102</v>
      </c>
    </row>
    <row r="191" spans="1:8" x14ac:dyDescent="0.25">
      <c r="A191" s="20">
        <v>80</v>
      </c>
      <c r="B191" s="20" t="s">
        <v>114</v>
      </c>
      <c r="C191" s="20" t="s">
        <v>113</v>
      </c>
      <c r="D191" s="8" t="s">
        <v>169</v>
      </c>
      <c r="E191" s="13" t="s">
        <v>170</v>
      </c>
      <c r="F191" s="21" t="s">
        <v>397</v>
      </c>
      <c r="G191" s="22"/>
      <c r="H191" s="23"/>
    </row>
    <row r="192" spans="1:8" x14ac:dyDescent="0.25">
      <c r="A192" s="20">
        <v>81</v>
      </c>
      <c r="B192" s="20" t="s">
        <v>114</v>
      </c>
      <c r="C192" s="20" t="s">
        <v>113</v>
      </c>
      <c r="D192" t="s">
        <v>128</v>
      </c>
      <c r="E192" s="21" t="s">
        <v>111</v>
      </c>
      <c r="F192" s="21" t="s">
        <v>302</v>
      </c>
      <c r="G192" s="22"/>
      <c r="H192" s="23" t="s">
        <v>91</v>
      </c>
    </row>
    <row r="193" spans="1:8" x14ac:dyDescent="0.25">
      <c r="A193" s="20">
        <v>82</v>
      </c>
      <c r="B193" s="20" t="s">
        <v>114</v>
      </c>
      <c r="C193" s="20" t="s">
        <v>113</v>
      </c>
      <c r="D193" t="s">
        <v>128</v>
      </c>
      <c r="E193" s="21" t="s">
        <v>111</v>
      </c>
      <c r="F193" s="21" t="s">
        <v>131</v>
      </c>
      <c r="G193" s="22">
        <v>0</v>
      </c>
      <c r="H193" s="23"/>
    </row>
    <row r="194" spans="1:8" x14ac:dyDescent="0.25">
      <c r="A194" s="20">
        <v>83</v>
      </c>
      <c r="B194" s="20" t="s">
        <v>114</v>
      </c>
      <c r="C194" s="20" t="s">
        <v>113</v>
      </c>
      <c r="D194" t="s">
        <v>128</v>
      </c>
      <c r="E194" s="21" t="s">
        <v>111</v>
      </c>
      <c r="F194" s="21" t="s">
        <v>132</v>
      </c>
      <c r="G194" s="22">
        <v>0</v>
      </c>
      <c r="H194" s="23"/>
    </row>
    <row r="195" spans="1:8" x14ac:dyDescent="0.25">
      <c r="A195" s="20">
        <v>84</v>
      </c>
      <c r="B195" s="20" t="s">
        <v>114</v>
      </c>
      <c r="C195" s="20" t="s">
        <v>113</v>
      </c>
      <c r="D195" t="s">
        <v>133</v>
      </c>
      <c r="E195" s="21" t="s">
        <v>111</v>
      </c>
      <c r="F195" s="21" t="s">
        <v>303</v>
      </c>
      <c r="G195" s="22"/>
      <c r="H195" s="23" t="s">
        <v>91</v>
      </c>
    </row>
    <row r="196" spans="1:8" x14ac:dyDescent="0.25">
      <c r="A196" s="20">
        <v>85</v>
      </c>
      <c r="B196" s="20" t="s">
        <v>114</v>
      </c>
      <c r="C196" s="20" t="s">
        <v>113</v>
      </c>
      <c r="D196" t="s">
        <v>133</v>
      </c>
      <c r="E196" s="21" t="s">
        <v>111</v>
      </c>
      <c r="F196" s="21" t="s">
        <v>135</v>
      </c>
      <c r="G196" s="22">
        <v>0</v>
      </c>
      <c r="H196" s="23"/>
    </row>
    <row r="197" spans="1:8" x14ac:dyDescent="0.25">
      <c r="A197" s="20">
        <v>86</v>
      </c>
      <c r="B197" s="20" t="s">
        <v>114</v>
      </c>
      <c r="C197" s="20" t="s">
        <v>113</v>
      </c>
      <c r="D197" t="s">
        <v>133</v>
      </c>
      <c r="E197" s="21" t="s">
        <v>111</v>
      </c>
      <c r="F197" s="21" t="s">
        <v>136</v>
      </c>
      <c r="G197" s="22">
        <v>0</v>
      </c>
      <c r="H197" s="23"/>
    </row>
    <row r="198" spans="1:8" x14ac:dyDescent="0.25">
      <c r="A198" s="20">
        <v>87</v>
      </c>
      <c r="B198" s="20" t="s">
        <v>114</v>
      </c>
      <c r="C198" s="20" t="s">
        <v>113</v>
      </c>
      <c r="D198" t="s">
        <v>137</v>
      </c>
      <c r="E198" s="21" t="s">
        <v>111</v>
      </c>
      <c r="F198" s="21" t="s">
        <v>304</v>
      </c>
      <c r="G198" s="22"/>
      <c r="H198" s="23" t="s">
        <v>91</v>
      </c>
    </row>
    <row r="199" spans="1:8" x14ac:dyDescent="0.25">
      <c r="A199" s="20">
        <v>88</v>
      </c>
      <c r="B199" s="20" t="s">
        <v>114</v>
      </c>
      <c r="C199" s="20" t="s">
        <v>113</v>
      </c>
      <c r="D199" t="s">
        <v>137</v>
      </c>
      <c r="E199" s="21" t="s">
        <v>111</v>
      </c>
      <c r="F199" s="21" t="s">
        <v>139</v>
      </c>
      <c r="G199" s="22">
        <v>0</v>
      </c>
      <c r="H199" s="23"/>
    </row>
    <row r="200" spans="1:8" x14ac:dyDescent="0.25">
      <c r="A200" s="20">
        <v>89</v>
      </c>
      <c r="B200" s="20" t="s">
        <v>114</v>
      </c>
      <c r="C200" s="20" t="s">
        <v>113</v>
      </c>
      <c r="D200" t="s">
        <v>137</v>
      </c>
      <c r="E200" s="21" t="s">
        <v>111</v>
      </c>
      <c r="F200" s="21" t="s">
        <v>140</v>
      </c>
      <c r="G200" s="22">
        <v>0</v>
      </c>
      <c r="H200" s="23"/>
    </row>
    <row r="201" spans="1:8" x14ac:dyDescent="0.25">
      <c r="A201" s="20">
        <v>90</v>
      </c>
      <c r="B201" s="20" t="s">
        <v>114</v>
      </c>
      <c r="C201" s="20" t="s">
        <v>113</v>
      </c>
      <c r="D201" t="s">
        <v>141</v>
      </c>
      <c r="E201" s="21" t="s">
        <v>111</v>
      </c>
      <c r="F201" s="21" t="s">
        <v>305</v>
      </c>
      <c r="G201" s="22"/>
      <c r="H201" s="23" t="s">
        <v>91</v>
      </c>
    </row>
    <row r="202" spans="1:8" x14ac:dyDescent="0.25">
      <c r="A202" s="20">
        <v>91</v>
      </c>
      <c r="B202" s="20" t="s">
        <v>114</v>
      </c>
      <c r="C202" s="20" t="s">
        <v>113</v>
      </c>
      <c r="D202" t="s">
        <v>141</v>
      </c>
      <c r="E202" s="21" t="s">
        <v>111</v>
      </c>
      <c r="F202" s="21" t="s">
        <v>143</v>
      </c>
      <c r="G202" s="22">
        <v>0</v>
      </c>
      <c r="H202" s="23"/>
    </row>
    <row r="203" spans="1:8" x14ac:dyDescent="0.25">
      <c r="A203" s="20">
        <v>92</v>
      </c>
      <c r="B203" s="20" t="s">
        <v>114</v>
      </c>
      <c r="C203" s="20" t="s">
        <v>113</v>
      </c>
      <c r="D203" t="s">
        <v>141</v>
      </c>
      <c r="E203" s="21" t="s">
        <v>111</v>
      </c>
      <c r="F203" s="21" t="s">
        <v>144</v>
      </c>
      <c r="G203" s="22">
        <v>0</v>
      </c>
      <c r="H203" s="23"/>
    </row>
    <row r="204" spans="1:8" x14ac:dyDescent="0.25">
      <c r="A204" s="20">
        <v>93</v>
      </c>
      <c r="B204" s="20" t="s">
        <v>114</v>
      </c>
      <c r="C204" s="20" t="s">
        <v>113</v>
      </c>
      <c r="D204" t="s">
        <v>145</v>
      </c>
      <c r="E204" s="21" t="s">
        <v>111</v>
      </c>
      <c r="F204" s="21" t="s">
        <v>306</v>
      </c>
      <c r="G204" s="22"/>
      <c r="H204" s="23" t="s">
        <v>91</v>
      </c>
    </row>
    <row r="205" spans="1:8" x14ac:dyDescent="0.25">
      <c r="A205" s="20">
        <v>94</v>
      </c>
      <c r="B205" s="20" t="s">
        <v>114</v>
      </c>
      <c r="C205" s="20" t="s">
        <v>113</v>
      </c>
      <c r="D205" t="s">
        <v>145</v>
      </c>
      <c r="E205" s="21" t="s">
        <v>111</v>
      </c>
      <c r="F205" s="21" t="s">
        <v>147</v>
      </c>
      <c r="G205" s="22">
        <v>0</v>
      </c>
      <c r="H205" s="23"/>
    </row>
    <row r="206" spans="1:8" x14ac:dyDescent="0.25">
      <c r="A206" s="20">
        <v>95</v>
      </c>
      <c r="B206" s="20" t="s">
        <v>114</v>
      </c>
      <c r="C206" s="20" t="s">
        <v>113</v>
      </c>
      <c r="D206" t="s">
        <v>145</v>
      </c>
      <c r="E206" s="21" t="s">
        <v>111</v>
      </c>
      <c r="F206" s="21" t="s">
        <v>148</v>
      </c>
      <c r="G206" s="22">
        <v>0</v>
      </c>
      <c r="H206" s="23"/>
    </row>
    <row r="207" spans="1:8" x14ac:dyDescent="0.25">
      <c r="A207" s="20">
        <v>96</v>
      </c>
      <c r="B207" s="20" t="s">
        <v>114</v>
      </c>
      <c r="C207" s="20" t="s">
        <v>113</v>
      </c>
      <c r="D207" t="s">
        <v>149</v>
      </c>
      <c r="E207" s="21" t="s">
        <v>111</v>
      </c>
      <c r="F207" s="21" t="s">
        <v>307</v>
      </c>
      <c r="G207" s="22"/>
      <c r="H207" s="23" t="s">
        <v>91</v>
      </c>
    </row>
    <row r="208" spans="1:8" x14ac:dyDescent="0.25">
      <c r="A208" s="20">
        <v>97</v>
      </c>
      <c r="B208" s="20" t="s">
        <v>114</v>
      </c>
      <c r="C208" s="20" t="s">
        <v>113</v>
      </c>
      <c r="D208" t="s">
        <v>149</v>
      </c>
      <c r="E208" s="21" t="s">
        <v>111</v>
      </c>
      <c r="F208" s="21" t="s">
        <v>151</v>
      </c>
      <c r="G208" s="22">
        <v>0</v>
      </c>
      <c r="H208" s="23"/>
    </row>
    <row r="209" spans="1:8" x14ac:dyDescent="0.25">
      <c r="A209" s="20">
        <v>98</v>
      </c>
      <c r="B209" s="20" t="s">
        <v>114</v>
      </c>
      <c r="C209" s="20" t="s">
        <v>113</v>
      </c>
      <c r="D209" t="s">
        <v>149</v>
      </c>
      <c r="E209" s="21" t="s">
        <v>111</v>
      </c>
      <c r="F209" s="21" t="s">
        <v>152</v>
      </c>
      <c r="G209" s="22">
        <v>0</v>
      </c>
      <c r="H209" s="23"/>
    </row>
    <row r="210" spans="1:8" x14ac:dyDescent="0.25">
      <c r="A210" s="20">
        <v>99</v>
      </c>
      <c r="B210" s="20" t="s">
        <v>114</v>
      </c>
      <c r="C210" s="20" t="s">
        <v>113</v>
      </c>
      <c r="D210" t="s">
        <v>153</v>
      </c>
      <c r="E210" s="21" t="s">
        <v>111</v>
      </c>
      <c r="F210" s="21" t="s">
        <v>308</v>
      </c>
      <c r="G210" s="22"/>
      <c r="H210" s="23" t="s">
        <v>91</v>
      </c>
    </row>
    <row r="211" spans="1:8" x14ac:dyDescent="0.25">
      <c r="A211" s="20">
        <v>100</v>
      </c>
      <c r="B211" s="20" t="s">
        <v>114</v>
      </c>
      <c r="C211" s="20" t="s">
        <v>113</v>
      </c>
      <c r="D211" t="s">
        <v>153</v>
      </c>
      <c r="E211" s="21" t="s">
        <v>111</v>
      </c>
      <c r="F211" s="21" t="s">
        <v>155</v>
      </c>
      <c r="G211" s="22">
        <v>0</v>
      </c>
      <c r="H211" s="23"/>
    </row>
    <row r="212" spans="1:8" x14ac:dyDescent="0.25">
      <c r="A212" s="20">
        <v>101</v>
      </c>
      <c r="B212" s="20" t="s">
        <v>114</v>
      </c>
      <c r="C212" s="20" t="s">
        <v>113</v>
      </c>
      <c r="D212" t="s">
        <v>153</v>
      </c>
      <c r="E212" s="21" t="s">
        <v>111</v>
      </c>
      <c r="F212" s="21" t="s">
        <v>156</v>
      </c>
      <c r="G212" s="22">
        <v>0</v>
      </c>
      <c r="H212" s="23"/>
    </row>
    <row r="213" spans="1:8" x14ac:dyDescent="0.25">
      <c r="A213" s="20">
        <v>102</v>
      </c>
      <c r="B213" s="20" t="s">
        <v>114</v>
      </c>
      <c r="C213" s="20" t="s">
        <v>113</v>
      </c>
      <c r="D213" t="s">
        <v>157</v>
      </c>
      <c r="E213" s="21" t="s">
        <v>111</v>
      </c>
      <c r="F213" s="21" t="s">
        <v>309</v>
      </c>
      <c r="G213" s="22"/>
      <c r="H213" s="23" t="s">
        <v>91</v>
      </c>
    </row>
    <row r="214" spans="1:8" x14ac:dyDescent="0.25">
      <c r="A214" s="20">
        <v>103</v>
      </c>
      <c r="B214" s="20" t="s">
        <v>114</v>
      </c>
      <c r="C214" s="20" t="s">
        <v>113</v>
      </c>
      <c r="D214" t="s">
        <v>157</v>
      </c>
      <c r="E214" s="21" t="s">
        <v>111</v>
      </c>
      <c r="F214" s="21" t="s">
        <v>159</v>
      </c>
      <c r="G214" s="22">
        <v>0</v>
      </c>
      <c r="H214" s="23"/>
    </row>
    <row r="215" spans="1:8" x14ac:dyDescent="0.25">
      <c r="A215" s="20">
        <v>104</v>
      </c>
      <c r="B215" s="20" t="s">
        <v>114</v>
      </c>
      <c r="C215" s="20" t="s">
        <v>113</v>
      </c>
      <c r="D215" t="s">
        <v>157</v>
      </c>
      <c r="E215" s="21" t="s">
        <v>111</v>
      </c>
      <c r="F215" s="21" t="s">
        <v>160</v>
      </c>
      <c r="G215" s="22">
        <v>0</v>
      </c>
      <c r="H215" s="23"/>
    </row>
    <row r="216" spans="1:8" x14ac:dyDescent="0.25">
      <c r="A216" s="20">
        <v>105</v>
      </c>
      <c r="B216" s="20" t="s">
        <v>114</v>
      </c>
      <c r="C216" s="20" t="s">
        <v>113</v>
      </c>
      <c r="D216" t="s">
        <v>161</v>
      </c>
      <c r="E216" s="21" t="s">
        <v>111</v>
      </c>
      <c r="F216" s="21" t="s">
        <v>310</v>
      </c>
      <c r="G216" s="22"/>
      <c r="H216" s="23" t="s">
        <v>91</v>
      </c>
    </row>
    <row r="217" spans="1:8" x14ac:dyDescent="0.25">
      <c r="A217" s="20">
        <v>106</v>
      </c>
      <c r="B217" s="20" t="s">
        <v>114</v>
      </c>
      <c r="C217" s="20" t="s">
        <v>113</v>
      </c>
      <c r="D217" t="s">
        <v>161</v>
      </c>
      <c r="E217" s="21" t="s">
        <v>111</v>
      </c>
      <c r="F217" s="21" t="s">
        <v>163</v>
      </c>
      <c r="G217" s="22">
        <v>0</v>
      </c>
      <c r="H217" s="23"/>
    </row>
    <row r="218" spans="1:8" x14ac:dyDescent="0.25">
      <c r="A218" s="20">
        <v>107</v>
      </c>
      <c r="B218" s="20" t="s">
        <v>114</v>
      </c>
      <c r="C218" s="20" t="s">
        <v>113</v>
      </c>
      <c r="D218" t="s">
        <v>161</v>
      </c>
      <c r="E218" s="21" t="s">
        <v>111</v>
      </c>
      <c r="F218" s="21" t="s">
        <v>164</v>
      </c>
      <c r="G218" s="22">
        <v>0</v>
      </c>
      <c r="H218" s="23"/>
    </row>
    <row r="219" spans="1:8" x14ac:dyDescent="0.25">
      <c r="A219" s="20">
        <v>108</v>
      </c>
      <c r="B219" s="20" t="s">
        <v>114</v>
      </c>
      <c r="C219" s="20" t="s">
        <v>113</v>
      </c>
      <c r="D219" t="s">
        <v>165</v>
      </c>
      <c r="E219" s="21" t="s">
        <v>111</v>
      </c>
      <c r="F219" s="21" t="s">
        <v>311</v>
      </c>
      <c r="G219" s="22"/>
      <c r="H219" s="23" t="s">
        <v>91</v>
      </c>
    </row>
    <row r="220" spans="1:8" x14ac:dyDescent="0.25">
      <c r="A220" s="20">
        <v>109</v>
      </c>
      <c r="B220" s="20" t="s">
        <v>114</v>
      </c>
      <c r="C220" s="20" t="s">
        <v>113</v>
      </c>
      <c r="D220" t="s">
        <v>165</v>
      </c>
      <c r="E220" s="21" t="s">
        <v>111</v>
      </c>
      <c r="F220" s="21" t="s">
        <v>167</v>
      </c>
      <c r="G220" s="22">
        <v>0</v>
      </c>
      <c r="H220" s="23"/>
    </row>
    <row r="221" spans="1:8" x14ac:dyDescent="0.25">
      <c r="A221" s="20">
        <v>110</v>
      </c>
      <c r="B221" s="20" t="s">
        <v>114</v>
      </c>
      <c r="C221" s="20" t="s">
        <v>113</v>
      </c>
      <c r="D221" t="s">
        <v>165</v>
      </c>
      <c r="E221" s="21" t="s">
        <v>111</v>
      </c>
      <c r="F221" s="21" t="s">
        <v>168</v>
      </c>
      <c r="G221" s="22">
        <v>0</v>
      </c>
      <c r="H221" s="23"/>
    </row>
  </sheetData>
  <sortState ref="A2:H221">
    <sortCondition descending="1" ref="B2:B221"/>
    <sortCondition ref="A2:A22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22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25/06/2020</v>
      </c>
    </row>
    <row r="5" spans="1:1" x14ac:dyDescent="0.25">
      <c r="A5" t="str">
        <f>"# | Version PARPRE : "&amp;TEXT(Accueil!R1,"JJ/MM/AAAA")</f>
        <v># | Version PARPRE : 20/05/2019</v>
      </c>
    </row>
    <row r="6" spans="1:1" x14ac:dyDescent="0.25">
      <c r="A6" t="str">
        <f>"# | Version EBO : "&amp;TEXT(Accueil!R2,"JJ/MM/AAAA")</f>
        <v># | Version EBO : 20/11/2019</v>
      </c>
    </row>
    <row r="7" spans="1:1" x14ac:dyDescent="0.25">
      <c r="A7" t="str">
        <f ca="1">CONCATENATE("# | Date creation  : ",TEXT(NOW(),"jj/mm/aaaa hh:mm:ss"))</f>
        <v># | Date creation  : 16/06/2021 15:01:37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122</v>
      </c>
    </row>
    <row r="52" spans="1:1" x14ac:dyDescent="0.25">
      <c r="A52" t="s">
        <v>124</v>
      </c>
    </row>
    <row r="53" spans="1:1" x14ac:dyDescent="0.25">
      <c r="A53" t="s">
        <v>125</v>
      </c>
    </row>
    <row r="54" spans="1:1" x14ac:dyDescent="0.25">
      <c r="A54" t="s">
        <v>41</v>
      </c>
    </row>
    <row r="56" spans="1:1" x14ac:dyDescent="0.25">
      <c r="A56" t="s">
        <v>45</v>
      </c>
    </row>
    <row r="57" spans="1:1" x14ac:dyDescent="0.25">
      <c r="A57" t="s">
        <v>123</v>
      </c>
    </row>
    <row r="58" spans="1:1" x14ac:dyDescent="0.25">
      <c r="A58" t="s">
        <v>46</v>
      </c>
    </row>
    <row r="59" spans="1:1" x14ac:dyDescent="0.25">
      <c r="A59" t="s">
        <v>41</v>
      </c>
    </row>
    <row r="60" spans="1:1" x14ac:dyDescent="0.25">
      <c r="A60" t="s">
        <v>47</v>
      </c>
    </row>
    <row r="62" spans="1:1" x14ac:dyDescent="0.25">
      <c r="A62" t="s">
        <v>48</v>
      </c>
    </row>
    <row r="63" spans="1:1" x14ac:dyDescent="0.25">
      <c r="A63" t="s">
        <v>28</v>
      </c>
    </row>
    <row r="64" spans="1:1" x14ac:dyDescent="0.25">
      <c r="A64" t="s">
        <v>49</v>
      </c>
    </row>
    <row r="65" spans="1:1" x14ac:dyDescent="0.25">
      <c r="A65" t="s">
        <v>34</v>
      </c>
    </row>
    <row r="66" spans="1:1" x14ac:dyDescent="0.25">
      <c r="A66" t="s">
        <v>50</v>
      </c>
    </row>
    <row r="67" spans="1:1" x14ac:dyDescent="0.25">
      <c r="A67" t="s">
        <v>51</v>
      </c>
    </row>
    <row r="68" spans="1:1" x14ac:dyDescent="0.25">
      <c r="A68" t="s">
        <v>28</v>
      </c>
    </row>
    <row r="69" spans="1:1" x14ac:dyDescent="0.25">
      <c r="A69" t="s">
        <v>52</v>
      </c>
    </row>
    <row r="70" spans="1:1" x14ac:dyDescent="0.25">
      <c r="A70" t="s">
        <v>34</v>
      </c>
    </row>
    <row r="72" spans="1:1" x14ac:dyDescent="0.25">
      <c r="A72" t="s">
        <v>53</v>
      </c>
    </row>
    <row r="73" spans="1:1" x14ac:dyDescent="0.25">
      <c r="A73" t="s">
        <v>28</v>
      </c>
    </row>
    <row r="74" spans="1:1" x14ac:dyDescent="0.25">
      <c r="A74" t="s">
        <v>54</v>
      </c>
    </row>
    <row r="75" spans="1:1" x14ac:dyDescent="0.25">
      <c r="A75" t="s">
        <v>34</v>
      </c>
    </row>
    <row r="77" spans="1:1" x14ac:dyDescent="0.25">
      <c r="A77" t="s">
        <v>55</v>
      </c>
    </row>
    <row r="78" spans="1:1" x14ac:dyDescent="0.25">
      <c r="A78" t="s">
        <v>28</v>
      </c>
    </row>
    <row r="79" spans="1:1" x14ac:dyDescent="0.25">
      <c r="A79" t="s">
        <v>56</v>
      </c>
    </row>
    <row r="80" spans="1:1" x14ac:dyDescent="0.25">
      <c r="A80" t="s">
        <v>34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31</v>
      </c>
    </row>
    <row r="85" spans="1:1" x14ac:dyDescent="0.25">
      <c r="A85" t="s">
        <v>59</v>
      </c>
    </row>
    <row r="86" spans="1:1" x14ac:dyDescent="0.25">
      <c r="A86" t="s">
        <v>60</v>
      </c>
    </row>
    <row r="87" spans="1:1" x14ac:dyDescent="0.25">
      <c r="A87" t="s">
        <v>61</v>
      </c>
    </row>
    <row r="88" spans="1:1" x14ac:dyDescent="0.25">
      <c r="A88" t="s">
        <v>33</v>
      </c>
    </row>
    <row r="89" spans="1:1" x14ac:dyDescent="0.25">
      <c r="A89" t="s">
        <v>62</v>
      </c>
    </row>
    <row r="91" spans="1:1" x14ac:dyDescent="0.25">
      <c r="A91" t="s">
        <v>63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64</v>
      </c>
    </row>
    <row r="95" spans="1:1" x14ac:dyDescent="0.25">
      <c r="A95" t="s">
        <v>60</v>
      </c>
    </row>
    <row r="96" spans="1:1" x14ac:dyDescent="0.25">
      <c r="A96" t="s">
        <v>65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66</v>
      </c>
    </row>
    <row r="101" spans="1:1" x14ac:dyDescent="0.25">
      <c r="A101" t="str">
        <f>"echo """&amp;A4&amp;""""</f>
        <v>echo "# | Version TRANSFORMERS : 25/06/2020"</v>
      </c>
    </row>
    <row r="102" spans="1:1" x14ac:dyDescent="0.25">
      <c r="A102" t="str">
        <f t="shared" ref="A102:A104" si="0">"echo """&amp;A5&amp;""""</f>
        <v>echo "# | Version PARPRE : 20/05/2019"</v>
      </c>
    </row>
    <row r="103" spans="1:1" x14ac:dyDescent="0.25">
      <c r="A103" t="str">
        <f t="shared" si="0"/>
        <v>echo "# | Version EBO : 20/11/2019"</v>
      </c>
    </row>
    <row r="104" spans="1:1" x14ac:dyDescent="0.25">
      <c r="A104" t="str">
        <f t="shared" ca="1" si="0"/>
        <v>echo "# | Date creation  : 16/06/2021 15:01:37"</v>
      </c>
    </row>
    <row r="106" spans="1:1" x14ac:dyDescent="0.25">
      <c r="A106" t="s">
        <v>37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1" spans="1:1" x14ac:dyDescent="0.25">
      <c r="A111" t="s">
        <v>100</v>
      </c>
    </row>
    <row r="112" spans="1:1" x14ac:dyDescent="0.25">
      <c r="A112" t="s">
        <v>101</v>
      </c>
    </row>
    <row r="113" spans="1:1" x14ac:dyDescent="0.25">
      <c r="A113" t="s">
        <v>99</v>
      </c>
    </row>
    <row r="115" spans="1:1" x14ac:dyDescent="0.25">
      <c r="A115" t="s">
        <v>120</v>
      </c>
    </row>
    <row r="116" spans="1:1" x14ac:dyDescent="0.25">
      <c r="A116" t="s">
        <v>121</v>
      </c>
    </row>
    <row r="117" spans="1:1" x14ac:dyDescent="0.25">
      <c r="A117" t="s">
        <v>99</v>
      </c>
    </row>
    <row r="118" spans="1:1" x14ac:dyDescent="0.25">
      <c r="A118" t="s">
        <v>47</v>
      </c>
    </row>
    <row r="120" spans="1:1" x14ac:dyDescent="0.25">
      <c r="A120" t="s">
        <v>67</v>
      </c>
    </row>
    <row r="122" spans="1:1" x14ac:dyDescent="0.25">
      <c r="A122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3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19" bestFit="1" customWidth="1"/>
    <col min="2" max="2" width="8" style="19" bestFit="1" customWidth="1"/>
    <col min="3" max="3" width="9.5703125" style="19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8" t="s">
        <v>3</v>
      </c>
      <c r="G1" s="1" t="s">
        <v>4</v>
      </c>
      <c r="H1" s="5" t="s">
        <v>96</v>
      </c>
    </row>
    <row r="2" spans="1:8" x14ac:dyDescent="0.25">
      <c r="A2" s="19">
        <v>109</v>
      </c>
      <c r="B2" s="19" t="s">
        <v>109</v>
      </c>
      <c r="C2" s="19" t="s">
        <v>112</v>
      </c>
      <c r="D2" t="s">
        <v>169</v>
      </c>
      <c r="E2" t="s">
        <v>170</v>
      </c>
      <c r="F2" t="s">
        <v>379</v>
      </c>
      <c r="H2" t="s">
        <v>102</v>
      </c>
    </row>
    <row r="3" spans="1:8" x14ac:dyDescent="0.25">
      <c r="A3"/>
      <c r="B3"/>
      <c r="C3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3" spans="1:3" x14ac:dyDescent="0.25">
      <c r="A23"/>
      <c r="B23"/>
      <c r="C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LOIEZ, Philippe</cp:lastModifiedBy>
  <dcterms:created xsi:type="dcterms:W3CDTF">2020-02-03T09:56:53Z</dcterms:created>
  <dcterms:modified xsi:type="dcterms:W3CDTF">2021-06-16T13:01:36Z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