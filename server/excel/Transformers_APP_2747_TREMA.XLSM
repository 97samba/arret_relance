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a\Desktop\projetSFR\AR\server\excel\"/>
    </mc:Choice>
  </mc:AlternateContent>
  <xr:revisionPtr revIDLastSave="0" documentId="13_ncr:1_{B689F968-05DC-48F3-9830-13C3E4A107AD}" xr6:coauthVersionLast="47" xr6:coauthVersionMax="47" xr10:uidLastSave="{00000000-0000-0000-0000-000000000000}"/>
  <bookViews>
    <workbookView xWindow="-108" yWindow="-108" windowWidth="23256" windowHeight="12576" tabRatio="673" xr2:uid="{00000000-000D-0000-FFFF-FFFF00000000}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  <sheet name="ListeVERIF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7" i="1" l="1"/>
  <c r="A16" i="1"/>
  <c r="A15" i="1"/>
  <c r="A14" i="1"/>
  <c r="A9" i="1"/>
  <c r="A10" i="1" s="1"/>
  <c r="A11" i="1" s="1"/>
  <c r="A12" i="1" s="1"/>
  <c r="A13" i="1" s="1"/>
  <c r="A7" i="2" l="1"/>
  <c r="A4" i="2" l="1"/>
  <c r="A110" i="2" s="1"/>
  <c r="A6" i="2"/>
  <c r="A112" i="2" s="1"/>
  <c r="A5" i="2"/>
  <c r="A111" i="2" s="1"/>
  <c r="A113" i="2" l="1"/>
  <c r="N3" i="1" l="1"/>
  <c r="N2" i="1"/>
</calcChain>
</file>

<file path=xl/sharedStrings.xml><?xml version="1.0" encoding="utf-8"?>
<sst xmlns="http://schemas.openxmlformats.org/spreadsheetml/2006/main" count="270" uniqueCount="152">
  <si>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</si>
  <si>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</si>
  <si>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</si>
  <si>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</si>
  <si>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</si>
  <si>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</si>
  <si>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</si>
  <si>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</si>
  <si>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</si>
  <si>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</si>
  <si>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</si>
  <si>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</si>
  <si>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</si>
  <si>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</si>
  <si>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</si>
  <si>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</si>
  <si>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</si>
  <si>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</si>
  <si>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</si>
  <si>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</si>
  <si>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</si>
  <si>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</si>
  <si>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</si>
  <si>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</si>
  <si>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</si>
  <si>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</si>
  <si>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</si>
  <si>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</si>
  <si>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</si>
  <si>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</si>
  <si>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</si>
  <si>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</si>
  <si>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</si>
  <si>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</si>
  <si>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</si>
  <si>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</si>
  <si>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</si>
  <si>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</si>
  <si>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</si>
  <si>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</si>
  <si>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</si>
  <si>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</si>
  <si>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</si>
  <si>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</si>
  <si>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</si>
  <si>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</si>
  <si>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</si>
  <si>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</si>
  <si>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</si>
  <si>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</si>
  <si>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</si>
  <si>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</si>
  <si>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</si>
  <si>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</si>
  <si>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</si>
  <si>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</si>
  <si>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</si>
  <si>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</si>
  <si>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</si>
  <si>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</si>
  <si>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</si>
  <si>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</si>
  <si>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</si>
  <si>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</si>
  <si>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</si>
  <si>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</si>
  <si>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</si>
  <si>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</si>
  <si>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</si>
  <si>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</si>
  <si>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</si>
  <si>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</si>
  <si>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</si>
  <si>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</si>
  <si>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</si>
  <si>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</si>
  <si>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</si>
  <si>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</si>
  <si>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</si>
  <si>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</si>
  <si>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</si>
  <si>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</si>
  <si>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</si>
  <si>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</si>
  <si>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</si>
  <si>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</si>
  <si>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</si>
  <si>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</si>
  <si>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</si>
  <si>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</si>
  <si>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</si>
  <si>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</si>
  <si>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</si>
  <si>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</si>
  <si>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</si>
  <si>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</si>
  <si>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</si>
  <si>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</si>
  <si>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</si>
  <si>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</si>
  <si>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</si>
  <si>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</si>
  <si>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</si>
  <si>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</si>
  <si>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</si>
  <si>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</si>
  <si>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R</t>
  </si>
  <si>
    <t>C</t>
  </si>
  <si>
    <t>V</t>
  </si>
  <si>
    <t>A</t>
  </si>
  <si>
    <t>Version PARPRE</t>
  </si>
  <si>
    <t>Version EBO</t>
  </si>
  <si>
    <t>Version TRANSFORMERS</t>
  </si>
  <si>
    <t>Serveur IPP2 (PFPI)</t>
  </si>
  <si>
    <t>Serveur IPP1 (PACK / PFV)</t>
  </si>
  <si>
    <t>chr(09) &amp;Tests)</t>
  </si>
  <si>
    <t>chr(09) &amp;chr(09) &amp;Tests_App</t>
  </si>
  <si>
    <t xml:space="preserve">chr(09) &amp;Tests) </t>
  </si>
  <si>
    <t xml:space="preserve">chr(09) &amp;chr(09) &amp;echo "Type d'action incorrecte (Arret / Relance / Tests)" </t>
  </si>
  <si>
    <t xml:space="preserve">chr(09) &amp;chr(09) &amp;LOCAL_LOG_FILE=$LOG_DIR/Tests_$APPLI.log </t>
  </si>
  <si>
    <t xml:space="preserve">chr(09) &amp;chr(09) &amp;LOCAL_REPORT_FILE=$LOG_DIR/Tests_$APPLI"_Report.log" </t>
  </si>
  <si>
    <t>chr(09) &amp;chr(09) &amp;echo</t>
  </si>
  <si>
    <t xml:space="preserve">chr(09) &amp;chr(09) &amp;echo "!!!!!!!!!!!!!!!!!!!!!!!!!!!!!!!!!!!!!!!!!!!!!!!!!!!!!!!!!!!!!!!!!!!!!!!!!!!!!!!!!!!!!!!!!!!!!!" </t>
  </si>
  <si>
    <t>BUILD_JENKINS_USER=$3</t>
  </si>
  <si>
    <t>running</t>
  </si>
  <si>
    <t>stopped</t>
  </si>
  <si>
    <t>S. NDIAYE</t>
  </si>
  <si>
    <t>SRV_WIN_50649</t>
  </si>
  <si>
    <t>SRV_WIN_50648</t>
  </si>
  <si>
    <t>SERVICE START World Wide Web Publishing Service</t>
  </si>
  <si>
    <t>SERVICE STATUS World Wide Web Publishing Service</t>
  </si>
  <si>
    <t>SERVICE START IIS Admin Service</t>
  </si>
  <si>
    <t>SERVICE STATUS IIS Admin Service</t>
  </si>
  <si>
    <t>APP2747_TREMA</t>
  </si>
  <si>
    <t>SERVICE STOP IIS Admin Service</t>
  </si>
  <si>
    <t>SERVICE STOP World Wide Web Publishing Service</t>
  </si>
  <si>
    <t>sw50648</t>
  </si>
  <si>
    <t>sw50639</t>
  </si>
  <si>
    <t>sw50649</t>
  </si>
  <si>
    <t>sw50640</t>
  </si>
  <si>
    <t>P00028E0</t>
  </si>
  <si>
    <t>H00044E0</t>
  </si>
  <si>
    <t>NOM_BDD_1</t>
  </si>
  <si>
    <t>DATABASE STATUS $NOM_BDD_1</t>
  </si>
  <si>
    <t>DATABASE STOP $NOM_BDD_1</t>
  </si>
  <si>
    <t>DATABASE START $NOM_BDD_1 mssql</t>
  </si>
  <si>
    <t>DATABASE STATUS $NOM_BDD_1 mssql</t>
  </si>
  <si>
    <t>invoke c:\temp\scripts</t>
  </si>
  <si>
    <t>ps grep ef</t>
  </si>
  <si>
    <t>root</t>
  </si>
  <si>
    <t>process stop java.exe</t>
  </si>
  <si>
    <t xml:space="preserve">ps grep ef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</si>
</sst>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172B4D"/>
      <name val="Segoe U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4" fillId="0" borderId="0" xfId="0" applyFont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0" xfId="0" applyNumberFormat="1" applyBorder="1" applyAlignment="1">
      <alignment horizontal="center"/>
    </xf>
    <xf numFmtId="0" fontId="4" fillId="0" borderId="0" xfId="0" applyFont="1"/>
    <xf numFmtId="0" fontId="4" fillId="0" borderId="0" xfId="0" applyFont="1" applyFill="1" applyBorder="1" applyAlignment="1"/>
    <xf numFmtId="0" fontId="4" fillId="0" borderId="0" xfId="0" applyFont="1" applyAlignment="1"/>
    <xf numFmtId="0" fontId="4" fillId="0" borderId="0" xfId="0" applyFont="1" applyFill="1" applyBorder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388620</xdr:colOff>
          <xdr:row>0</xdr:row>
          <xdr:rowOff>30480</xdr:rowOff>
        </xdr:from>
        <xdr:to>
          <xdr:col>11</xdr:col>
          <xdr:colOff>381000</xdr:colOff>
          <xdr:row>0</xdr:row>
          <xdr:rowOff>373380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22860</xdr:rowOff>
        </xdr:from>
        <xdr:to>
          <xdr:col>11</xdr:col>
          <xdr:colOff>373380</xdr:colOff>
          <xdr:row>8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388620</xdr:colOff>
          <xdr:row>1</xdr:row>
          <xdr:rowOff>99060</xdr:rowOff>
        </xdr:from>
        <xdr:to>
          <xdr:col>11</xdr:col>
          <xdr:colOff>381000</xdr:colOff>
          <xdr:row>3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4</xdr:row>
          <xdr:rowOff>7620</xdr:rowOff>
        </xdr:from>
        <xdr:to>
          <xdr:col>11</xdr:col>
          <xdr:colOff>388620</xdr:colOff>
          <xdr:row>5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R115"/>
  <sheetViews>
    <sheetView tabSelected="1" zoomScale="130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2" sqref="F2:F7"/>
    </sheetView>
  </sheetViews>
  <sheetFormatPr baseColWidth="10" defaultColWidth="11.44140625" defaultRowHeight="14.4" x14ac:dyDescent="0.3"/>
  <cols>
    <col min="1" max="1" width="6.44140625" style="7" bestFit="1" customWidth="1"/>
    <col min="2" max="2" width="8" style="7" bestFit="1" customWidth="1"/>
    <col min="3" max="3" width="9.5546875" style="7" bestFit="1" customWidth="1"/>
    <col min="4" max="4" width="17.5546875" style="23" customWidth="1"/>
    <col min="5" max="5" width="11.44140625" style="23" customWidth="1"/>
    <col min="6" max="6" width="43.6640625" style="23" customWidth="1"/>
    <col min="7" max="7" width="15.6640625" style="24" bestFit="1" customWidth="1"/>
    <col min="8" max="9" width="11.44140625" style="12"/>
    <col min="10" max="12" width="11.44140625" style="7"/>
    <col min="13" max="14" width="19.6640625" style="7" customWidth="1"/>
    <col min="15" max="15" width="24.109375" style="7" bestFit="1" customWidth="1"/>
    <col min="16" max="16" width="18" style="7" bestFit="1" customWidth="1"/>
    <col min="17" max="17" width="16.33203125" style="7" customWidth="1"/>
    <col min="18" max="18" width="11.5546875" style="7" bestFit="1" customWidth="1"/>
    <col min="19" max="16384" width="11.44140625" style="7"/>
  </cols>
  <sheetData>
    <row r="1" spans="1:18" ht="28.8" x14ac:dyDescent="0.3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96</v>
      </c>
      <c r="I1" s="6" t="s">
        <v>95</v>
      </c>
      <c r="M1" s="2" t="s">
        <v>6</v>
      </c>
      <c r="N1" s="36" t="s">
        <v>133</v>
      </c>
      <c r="O1" s="2" t="s">
        <v>92</v>
      </c>
      <c r="P1" s="4" t="s">
        <v>126</v>
      </c>
      <c r="Q1" s="2" t="s">
        <v>110</v>
      </c>
      <c r="R1" s="8">
        <v>44519</v>
      </c>
    </row>
    <row r="2" spans="1:18" x14ac:dyDescent="0.3">
      <c r="A2" s="34">
        <v>1</v>
      </c>
      <c r="B2" s="34" t="s">
        <v>106</v>
      </c>
      <c r="C2" s="34" t="s">
        <v>107</v>
      </c>
      <c r="D2" s="7" t="s">
        <v>127</v>
      </c>
      <c r="E2" s="7"/>
      <c r="F2" s="7" t="s">
        <v>145</v>
      </c>
      <c r="G2" s="35"/>
      <c r="H2" s="30"/>
      <c r="I2" s="12" t="s">
        <v>91</v>
      </c>
      <c r="M2" s="13" t="s">
        <v>7</v>
      </c>
      <c r="N2" s="14">
        <f>SUMPRODUCT((B:B="A")*(C:C="C"))+SUMPRODUCT((B:B="A")*(C:C="V"))</f>
        <v>10</v>
      </c>
      <c r="O2" s="2" t="s">
        <v>112</v>
      </c>
      <c r="P2" s="8">
        <v>44335</v>
      </c>
      <c r="Q2" s="2" t="s">
        <v>111</v>
      </c>
      <c r="R2" s="8">
        <v>1</v>
      </c>
    </row>
    <row r="3" spans="1:18" x14ac:dyDescent="0.3">
      <c r="A3" s="34">
        <v>2</v>
      </c>
      <c r="B3" s="34" t="s">
        <v>106</v>
      </c>
      <c r="C3" s="34" t="s">
        <v>108</v>
      </c>
      <c r="D3" s="7" t="s">
        <v>127</v>
      </c>
      <c r="E3" s="7"/>
      <c r="F3" s="7" t="s">
        <v>146</v>
      </c>
      <c r="G3" s="35" t="s">
        <v>124</v>
      </c>
      <c r="H3" s="30"/>
      <c r="I3" s="12" t="s">
        <v>93</v>
      </c>
      <c r="M3" s="15" t="s">
        <v>8</v>
      </c>
      <c r="N3" s="14">
        <f>SUMPRODUCT((B:B="R")*(C:C="C"))+SUMPRODUCT((B:B="R")*(C:C="V"))</f>
        <v>6</v>
      </c>
    </row>
    <row r="4" spans="1:18" x14ac:dyDescent="0.3">
      <c r="A4" s="34">
        <v>3</v>
      </c>
      <c r="B4" s="34" t="s">
        <v>106</v>
      </c>
      <c r="C4" s="34" t="s">
        <v>107</v>
      </c>
      <c r="D4" s="7" t="s">
        <v>128</v>
      </c>
      <c r="E4" s="7"/>
      <c r="F4" s="7" t="s">
        <v>129</v>
      </c>
      <c r="G4" s="35"/>
      <c r="I4" s="12" t="s">
        <v>94</v>
      </c>
      <c r="M4" s="13" t="s">
        <v>9</v>
      </c>
      <c r="N4" s="13" t="s">
        <v>10</v>
      </c>
      <c r="O4" s="13" t="s">
        <v>114</v>
      </c>
      <c r="P4" s="13" t="s">
        <v>113</v>
      </c>
    </row>
    <row r="5" spans="1:18" ht="16.8" x14ac:dyDescent="0.4">
      <c r="A5" s="34">
        <v>4</v>
      </c>
      <c r="B5" s="34" t="s">
        <v>106</v>
      </c>
      <c r="C5" s="34" t="s">
        <v>108</v>
      </c>
      <c r="D5" s="7" t="s">
        <v>128</v>
      </c>
      <c r="E5" s="7"/>
      <c r="F5" s="7" t="s">
        <v>130</v>
      </c>
      <c r="G5" s="35" t="s">
        <v>124</v>
      </c>
      <c r="I5" s="12" t="s">
        <v>102</v>
      </c>
      <c r="M5" s="21" t="s">
        <v>128</v>
      </c>
      <c r="N5" s="7" t="s">
        <v>136</v>
      </c>
      <c r="O5" s="37" t="s">
        <v>137</v>
      </c>
    </row>
    <row r="6" spans="1:18" ht="16.8" x14ac:dyDescent="0.4">
      <c r="A6" s="34">
        <v>5</v>
      </c>
      <c r="B6" s="34" t="s">
        <v>106</v>
      </c>
      <c r="C6" s="34" t="s">
        <v>107</v>
      </c>
      <c r="D6" s="7" t="s">
        <v>128</v>
      </c>
      <c r="E6" s="7"/>
      <c r="F6" s="7" t="s">
        <v>131</v>
      </c>
      <c r="G6" s="35"/>
      <c r="M6" s="21" t="s">
        <v>127</v>
      </c>
      <c r="N6" s="7" t="s">
        <v>138</v>
      </c>
      <c r="O6" s="37" t="s">
        <v>139</v>
      </c>
    </row>
    <row r="7" spans="1:18" x14ac:dyDescent="0.3">
      <c r="A7" s="34">
        <v>6</v>
      </c>
      <c r="B7" s="34" t="s">
        <v>106</v>
      </c>
      <c r="C7" s="34" t="s">
        <v>108</v>
      </c>
      <c r="D7" s="7" t="s">
        <v>128</v>
      </c>
      <c r="E7" s="7"/>
      <c r="F7" s="7" t="s">
        <v>132</v>
      </c>
      <c r="G7" s="35" t="s">
        <v>124</v>
      </c>
      <c r="M7" s="21" t="s">
        <v>142</v>
      </c>
      <c r="N7" t="s">
        <v>140</v>
      </c>
      <c r="O7" t="s">
        <v>141</v>
      </c>
      <c r="P7" s="17"/>
    </row>
    <row r="8" spans="1:18" x14ac:dyDescent="0.3">
      <c r="A8" s="34">
        <v>1</v>
      </c>
      <c r="B8" s="34" t="s">
        <v>109</v>
      </c>
      <c r="C8" s="34" t="s">
        <v>107</v>
      </c>
      <c r="D8" s="7" t="s">
        <v>128</v>
      </c>
      <c r="E8" s="7"/>
      <c r="F8" s="7" t="s">
        <v>134</v>
      </c>
      <c r="G8" s="35"/>
      <c r="M8" s="17"/>
      <c r="N8" s="17"/>
      <c r="O8" s="17"/>
      <c r="P8" s="17"/>
    </row>
    <row r="9" spans="1:18" x14ac:dyDescent="0.3">
      <c r="A9" s="34">
        <f t="shared" ref="A9:A17" si="0">A8+1</f>
        <v>2</v>
      </c>
      <c r="B9" s="34" t="s">
        <v>109</v>
      </c>
      <c r="C9" s="34" t="s">
        <v>108</v>
      </c>
      <c r="D9" s="7" t="s">
        <v>128</v>
      </c>
      <c r="E9" s="7"/>
      <c r="F9" s="7" t="s">
        <v>132</v>
      </c>
      <c r="G9" s="35" t="s">
        <v>125</v>
      </c>
      <c r="H9" s="30"/>
      <c r="N9" s="17"/>
      <c r="O9" s="17"/>
      <c r="P9" s="17"/>
    </row>
    <row r="10" spans="1:18" x14ac:dyDescent="0.3">
      <c r="A10" s="34">
        <f t="shared" si="0"/>
        <v>3</v>
      </c>
      <c r="B10" s="34" t="s">
        <v>109</v>
      </c>
      <c r="C10" s="34" t="s">
        <v>107</v>
      </c>
      <c r="D10" s="7" t="s">
        <v>128</v>
      </c>
      <c r="E10" s="7"/>
      <c r="F10" s="7" t="s">
        <v>135</v>
      </c>
      <c r="G10" s="35"/>
      <c r="M10" s="17"/>
      <c r="N10" s="17"/>
      <c r="O10" s="17"/>
      <c r="P10" s="17"/>
    </row>
    <row r="11" spans="1:18" x14ac:dyDescent="0.3">
      <c r="A11" s="34">
        <f t="shared" si="0"/>
        <v>4</v>
      </c>
      <c r="B11" s="34" t="s">
        <v>109</v>
      </c>
      <c r="C11" s="34" t="s">
        <v>108</v>
      </c>
      <c r="D11" s="7" t="s">
        <v>128</v>
      </c>
      <c r="E11" s="7"/>
      <c r="F11" s="7" t="s">
        <v>130</v>
      </c>
      <c r="G11" s="35" t="s">
        <v>125</v>
      </c>
      <c r="M11" s="17"/>
      <c r="N11" s="17"/>
      <c r="O11" s="17"/>
      <c r="P11" s="17"/>
    </row>
    <row r="12" spans="1:18" x14ac:dyDescent="0.3">
      <c r="A12" s="34">
        <f t="shared" si="0"/>
        <v>5</v>
      </c>
      <c r="B12" s="34" t="s">
        <v>109</v>
      </c>
      <c r="C12" s="34" t="s">
        <v>107</v>
      </c>
      <c r="D12" s="7" t="s">
        <v>127</v>
      </c>
      <c r="E12" s="7"/>
      <c r="F12" s="7" t="s">
        <v>144</v>
      </c>
      <c r="G12" s="35"/>
      <c r="H12" s="30"/>
      <c r="M12" s="17"/>
      <c r="N12" s="17"/>
      <c r="O12" s="17"/>
      <c r="P12" s="17"/>
    </row>
    <row r="13" spans="1:18" x14ac:dyDescent="0.3">
      <c r="A13" s="34">
        <f t="shared" si="0"/>
        <v>6</v>
      </c>
      <c r="B13" s="34" t="s">
        <v>109</v>
      </c>
      <c r="C13" s="34" t="s">
        <v>108</v>
      </c>
      <c r="D13" s="7" t="s">
        <v>127</v>
      </c>
      <c r="E13" s="7"/>
      <c r="F13" s="7" t="s">
        <v>143</v>
      </c>
      <c r="G13" s="35" t="s">
        <v>125</v>
      </c>
      <c r="M13" s="17"/>
      <c r="N13" s="17"/>
      <c r="O13" s="17"/>
      <c r="P13" s="17"/>
    </row>
    <row r="14" spans="1:18" x14ac:dyDescent="0.3">
      <c r="A14" s="34">
        <f t="shared" si="0"/>
        <v>7</v>
      </c>
      <c r="B14" s="34" t="s">
        <v>109</v>
      </c>
      <c r="C14" s="34" t="s">
        <v>107</v>
      </c>
      <c r="D14" s="7" t="s">
        <v>127</v>
      </c>
      <c r="E14" s="7"/>
      <c r="F14" s="7" t="s">
        <v>147</v>
      </c>
      <c r="G14" s="35"/>
      <c r="M14" s="17"/>
      <c r="N14" s="17"/>
      <c r="O14" s="17"/>
      <c r="P14" s="17"/>
    </row>
    <row r="15" spans="1:18" x14ac:dyDescent="0.3">
      <c r="A15" s="34">
        <f t="shared" si="0"/>
        <v>8</v>
      </c>
      <c r="B15" s="34" t="s">
        <v>109</v>
      </c>
      <c r="C15" s="34" t="s">
        <v>107</v>
      </c>
      <c r="D15" s="7" t="s">
        <v>127</v>
      </c>
      <c r="E15" s="7" t="s">
        <v>149</v>
      </c>
      <c r="F15" s="7" t="s">
        <v>151</v>
      </c>
      <c r="G15" s="35"/>
      <c r="H15" s="30"/>
      <c r="M15" s="17"/>
      <c r="N15" s="17"/>
      <c r="O15" s="17"/>
      <c r="P15" s="17"/>
    </row>
    <row r="16" spans="1:18" x14ac:dyDescent="0.3">
      <c r="A16" s="34">
        <f t="shared" si="0"/>
        <v>9</v>
      </c>
      <c r="B16" s="34" t="s">
        <v>109</v>
      </c>
      <c r="C16" s="34" t="s">
        <v>108</v>
      </c>
      <c r="D16" s="7" t="s">
        <v>127</v>
      </c>
      <c r="E16" s="7" t="s">
        <v>149</v>
      </c>
      <c r="F16" s="7" t="s">
        <v>148</v>
      </c>
      <c r="G16" s="35">
        <v>1</v>
      </c>
      <c r="M16" s="17"/>
      <c r="N16" s="17"/>
      <c r="O16" s="17"/>
      <c r="P16" s="17"/>
    </row>
    <row r="17" spans="1:16" x14ac:dyDescent="0.3">
      <c r="A17" s="34">
        <f t="shared" si="0"/>
        <v>10</v>
      </c>
      <c r="B17" s="34" t="s">
        <v>109</v>
      </c>
      <c r="C17" s="34" t="s">
        <v>107</v>
      </c>
      <c r="D17" s="7" t="s">
        <v>127</v>
      </c>
      <c r="E17" s="7"/>
      <c r="F17" s="7" t="s">
        <v>150</v>
      </c>
      <c r="G17" s="35"/>
      <c r="M17" s="21"/>
      <c r="N17" s="21"/>
      <c r="O17" s="21"/>
      <c r="P17" s="21"/>
    </row>
    <row r="18" spans="1:16" x14ac:dyDescent="0.3">
      <c r="A18" s="34"/>
      <c r="B18" s="34"/>
      <c r="C18" s="34"/>
      <c r="D18" s="7"/>
      <c r="E18" s="7"/>
      <c r="F18" s="7"/>
      <c r="G18" s="35"/>
      <c r="M18" s="17"/>
      <c r="N18" s="17"/>
      <c r="O18" s="17"/>
      <c r="P18" s="21"/>
    </row>
    <row r="19" spans="1:16" x14ac:dyDescent="0.3">
      <c r="A19" s="34"/>
      <c r="B19" s="34"/>
      <c r="C19" s="34"/>
      <c r="D19" s="7"/>
      <c r="E19" s="7"/>
      <c r="F19" s="7"/>
      <c r="G19" s="35"/>
      <c r="H19" s="30"/>
      <c r="M19" s="17"/>
      <c r="N19" s="17"/>
      <c r="O19" s="17"/>
      <c r="P19" s="21"/>
    </row>
    <row r="20" spans="1:16" x14ac:dyDescent="0.3">
      <c r="A20" s="34"/>
      <c r="B20" s="34"/>
      <c r="C20" s="34"/>
      <c r="D20" s="7"/>
      <c r="E20" s="7"/>
      <c r="F20" s="7"/>
      <c r="G20" s="35"/>
      <c r="M20" s="21"/>
      <c r="N20" s="17"/>
      <c r="O20" s="17"/>
      <c r="P20" s="21"/>
    </row>
    <row r="21" spans="1:16" x14ac:dyDescent="0.3">
      <c r="A21" s="34"/>
      <c r="B21" s="34"/>
      <c r="C21" s="34"/>
      <c r="D21" s="7"/>
      <c r="E21" s="7"/>
      <c r="F21" s="7"/>
      <c r="G21" s="35"/>
      <c r="H21" s="16"/>
      <c r="M21" s="17"/>
      <c r="N21" s="17"/>
      <c r="O21" s="17"/>
      <c r="P21" s="21"/>
    </row>
    <row r="22" spans="1:16" x14ac:dyDescent="0.3">
      <c r="A22" s="34"/>
      <c r="B22" s="34"/>
      <c r="C22" s="34"/>
      <c r="D22" s="7"/>
      <c r="E22" s="7"/>
      <c r="F22" s="7"/>
      <c r="G22" s="35"/>
      <c r="H22" s="30"/>
      <c r="O22" s="21"/>
      <c r="P22" s="21"/>
    </row>
    <row r="23" spans="1:16" x14ac:dyDescent="0.3">
      <c r="A23" s="34"/>
      <c r="B23" s="34"/>
      <c r="C23" s="34"/>
      <c r="D23" s="7"/>
      <c r="E23" s="7"/>
      <c r="F23" s="7"/>
      <c r="G23" s="35"/>
      <c r="H23" s="16"/>
      <c r="N23" s="21"/>
      <c r="O23" s="21"/>
      <c r="P23" s="21"/>
    </row>
    <row r="24" spans="1:16" x14ac:dyDescent="0.3">
      <c r="A24" s="34"/>
      <c r="B24" s="34"/>
      <c r="C24" s="34"/>
      <c r="D24" s="7"/>
      <c r="E24" s="7"/>
      <c r="F24" s="7"/>
      <c r="G24" s="35"/>
      <c r="H24" s="16"/>
      <c r="N24" s="21"/>
      <c r="O24" s="21"/>
      <c r="P24" s="21"/>
    </row>
    <row r="25" spans="1:16" x14ac:dyDescent="0.3">
      <c r="A25" s="34"/>
      <c r="B25" s="34"/>
      <c r="C25" s="34"/>
      <c r="D25" s="7"/>
      <c r="E25" s="7"/>
      <c r="F25" s="7"/>
      <c r="G25" s="35"/>
      <c r="H25" s="31"/>
    </row>
    <row r="26" spans="1:16" x14ac:dyDescent="0.3">
      <c r="A26" s="9"/>
      <c r="B26" s="9"/>
      <c r="C26" s="9"/>
      <c r="D26" s="17"/>
      <c r="E26" s="10"/>
      <c r="F26" s="17"/>
      <c r="G26" s="11"/>
      <c r="H26" s="16"/>
    </row>
    <row r="27" spans="1:16" x14ac:dyDescent="0.3">
      <c r="A27" s="9"/>
      <c r="B27" s="9"/>
      <c r="C27" s="9"/>
      <c r="D27" s="17"/>
      <c r="E27" s="10"/>
      <c r="F27" s="17"/>
      <c r="G27" s="11"/>
    </row>
    <row r="28" spans="1:16" x14ac:dyDescent="0.3">
      <c r="A28" s="9"/>
      <c r="B28" s="9"/>
      <c r="C28" s="9"/>
      <c r="D28" s="17"/>
      <c r="E28" s="10"/>
      <c r="F28" s="17"/>
      <c r="G28" s="11"/>
    </row>
    <row r="29" spans="1:16" x14ac:dyDescent="0.3">
      <c r="A29" s="9"/>
      <c r="B29" s="9"/>
      <c r="C29" s="9"/>
      <c r="D29" s="17"/>
      <c r="E29" s="10"/>
      <c r="F29" s="17"/>
      <c r="G29" s="11"/>
      <c r="H29" s="32"/>
    </row>
    <row r="30" spans="1:16" x14ac:dyDescent="0.3">
      <c r="A30" s="9"/>
      <c r="B30" s="9"/>
      <c r="C30" s="9"/>
      <c r="D30" s="17"/>
      <c r="E30" s="10"/>
      <c r="F30" s="17"/>
      <c r="G30" s="11"/>
      <c r="H30" s="31"/>
    </row>
    <row r="31" spans="1:16" x14ac:dyDescent="0.3">
      <c r="A31" s="9"/>
      <c r="B31" s="9"/>
      <c r="C31" s="9"/>
      <c r="D31" s="17"/>
      <c r="E31" s="10"/>
      <c r="F31" s="17"/>
      <c r="G31" s="11"/>
      <c r="H31" s="32"/>
    </row>
    <row r="32" spans="1:16" x14ac:dyDescent="0.3">
      <c r="A32" s="9"/>
      <c r="B32" s="9"/>
      <c r="C32" s="9"/>
      <c r="D32" s="17"/>
      <c r="E32" s="10"/>
      <c r="F32" s="17"/>
      <c r="H32" s="33"/>
    </row>
    <row r="33" spans="1:8" x14ac:dyDescent="0.3">
      <c r="A33" s="9"/>
      <c r="B33" s="9"/>
      <c r="C33" s="9"/>
      <c r="D33" s="17"/>
      <c r="E33" s="10"/>
      <c r="F33" s="17"/>
      <c r="G33" s="11"/>
      <c r="H33" s="30"/>
    </row>
    <row r="34" spans="1:8" x14ac:dyDescent="0.3">
      <c r="A34" s="9"/>
      <c r="B34" s="9"/>
      <c r="C34" s="9"/>
      <c r="D34" s="17"/>
      <c r="E34" s="10"/>
      <c r="F34" s="17"/>
      <c r="G34" s="11"/>
      <c r="H34" s="33"/>
    </row>
    <row r="35" spans="1:8" x14ac:dyDescent="0.3">
      <c r="A35" s="9"/>
      <c r="B35" s="9"/>
      <c r="C35" s="9"/>
      <c r="D35" s="17"/>
      <c r="E35" s="10"/>
      <c r="F35" s="17"/>
      <c r="G35" s="11"/>
      <c r="H35" s="30"/>
    </row>
    <row r="36" spans="1:8" x14ac:dyDescent="0.3">
      <c r="A36" s="9"/>
      <c r="B36" s="9"/>
      <c r="C36" s="9"/>
      <c r="D36" s="17"/>
      <c r="E36" s="10"/>
      <c r="F36" s="17"/>
      <c r="G36" s="11"/>
    </row>
    <row r="37" spans="1:8" x14ac:dyDescent="0.3">
      <c r="A37" s="9"/>
      <c r="B37" s="9"/>
      <c r="C37" s="9"/>
      <c r="D37" s="17"/>
      <c r="E37" s="10"/>
      <c r="F37" s="17"/>
      <c r="G37" s="11"/>
      <c r="H37" s="30"/>
    </row>
    <row r="38" spans="1:8" x14ac:dyDescent="0.3">
      <c r="A38" s="9"/>
      <c r="B38" s="9"/>
      <c r="C38" s="9"/>
      <c r="D38" s="17"/>
      <c r="E38" s="10"/>
      <c r="F38" s="17"/>
      <c r="G38" s="11"/>
    </row>
    <row r="39" spans="1:8" x14ac:dyDescent="0.3">
      <c r="A39" s="9"/>
      <c r="B39" s="9"/>
      <c r="C39" s="9"/>
      <c r="D39" s="17"/>
      <c r="E39" s="10"/>
      <c r="F39" s="17"/>
      <c r="G39" s="11"/>
      <c r="H39" s="30"/>
    </row>
    <row r="40" spans="1:8" x14ac:dyDescent="0.3">
      <c r="A40" s="9"/>
      <c r="B40" s="9"/>
      <c r="C40" s="9"/>
      <c r="D40" s="17"/>
      <c r="E40" s="10"/>
      <c r="F40" s="17"/>
      <c r="G40" s="11"/>
    </row>
    <row r="41" spans="1:8" x14ac:dyDescent="0.3">
      <c r="A41" s="9"/>
      <c r="B41" s="9"/>
      <c r="C41" s="9"/>
      <c r="D41" s="17"/>
      <c r="F41" s="17"/>
      <c r="G41" s="11"/>
    </row>
    <row r="42" spans="1:8" x14ac:dyDescent="0.3">
      <c r="A42" s="9"/>
      <c r="B42" s="9"/>
      <c r="C42" s="9"/>
      <c r="D42" s="17"/>
      <c r="E42" s="10"/>
      <c r="F42" s="17"/>
      <c r="G42" s="11"/>
    </row>
    <row r="43" spans="1:8" x14ac:dyDescent="0.3">
      <c r="A43" s="9"/>
      <c r="B43" s="9"/>
      <c r="C43" s="9"/>
      <c r="D43" s="17"/>
      <c r="F43" s="17"/>
      <c r="G43" s="11"/>
    </row>
    <row r="44" spans="1:8" x14ac:dyDescent="0.3">
      <c r="A44" s="9"/>
      <c r="B44" s="9"/>
      <c r="C44" s="9"/>
      <c r="D44" s="17"/>
      <c r="E44" s="10"/>
      <c r="F44" s="17"/>
      <c r="G44" s="11"/>
    </row>
    <row r="45" spans="1:8" x14ac:dyDescent="0.3">
      <c r="A45" s="9"/>
      <c r="B45" s="9"/>
      <c r="C45" s="9"/>
      <c r="D45" s="17"/>
      <c r="F45" s="17"/>
      <c r="G45" s="11"/>
    </row>
    <row r="46" spans="1:8" x14ac:dyDescent="0.3">
      <c r="A46" s="9"/>
      <c r="B46" s="9"/>
      <c r="C46" s="9"/>
      <c r="D46" s="17"/>
      <c r="E46" s="10"/>
      <c r="F46" s="17"/>
      <c r="G46" s="11"/>
    </row>
    <row r="47" spans="1:8" x14ac:dyDescent="0.3">
      <c r="A47" s="9"/>
      <c r="B47" s="9"/>
      <c r="C47" s="9"/>
      <c r="D47" s="17"/>
      <c r="F47" s="17"/>
      <c r="G47" s="11"/>
    </row>
    <row r="48" spans="1:8" x14ac:dyDescent="0.3">
      <c r="A48" s="9"/>
      <c r="B48" s="9"/>
      <c r="C48" s="9"/>
      <c r="D48" s="17"/>
      <c r="E48" s="10"/>
      <c r="F48" s="17"/>
      <c r="G48" s="11"/>
    </row>
    <row r="49" spans="1:8" x14ac:dyDescent="0.3">
      <c r="A49" s="9"/>
      <c r="B49" s="9"/>
      <c r="C49" s="9"/>
      <c r="D49" s="17"/>
      <c r="F49" s="17"/>
      <c r="G49" s="11"/>
    </row>
    <row r="50" spans="1:8" x14ac:dyDescent="0.3">
      <c r="A50" s="9"/>
      <c r="B50" s="9"/>
      <c r="C50" s="9"/>
      <c r="D50" s="17"/>
      <c r="E50" s="10"/>
      <c r="F50" s="17"/>
      <c r="G50" s="11"/>
    </row>
    <row r="51" spans="1:8" x14ac:dyDescent="0.3">
      <c r="A51" s="9"/>
      <c r="B51" s="9"/>
      <c r="C51" s="9"/>
      <c r="D51" s="17"/>
      <c r="F51" s="17"/>
      <c r="G51" s="11"/>
    </row>
    <row r="52" spans="1:8" x14ac:dyDescent="0.3">
      <c r="A52" s="9"/>
      <c r="B52" s="9"/>
      <c r="C52" s="9"/>
      <c r="D52" s="19"/>
      <c r="E52" s="21"/>
      <c r="F52" s="20"/>
      <c r="G52" s="11"/>
    </row>
    <row r="53" spans="1:8" x14ac:dyDescent="0.3">
      <c r="A53" s="18"/>
      <c r="B53" s="9"/>
      <c r="C53" s="9"/>
      <c r="D53" s="19"/>
      <c r="E53" s="21"/>
      <c r="F53" s="20"/>
      <c r="G53" s="11"/>
    </row>
    <row r="54" spans="1:8" x14ac:dyDescent="0.3">
      <c r="A54" s="9"/>
      <c r="B54" s="9"/>
      <c r="C54" s="9"/>
      <c r="D54" s="19"/>
      <c r="E54" s="21"/>
      <c r="F54" s="17"/>
      <c r="G54" s="11"/>
      <c r="H54" s="14"/>
    </row>
    <row r="55" spans="1:8" x14ac:dyDescent="0.3">
      <c r="A55" s="9"/>
      <c r="B55" s="9"/>
      <c r="C55" s="9"/>
      <c r="D55" s="10"/>
      <c r="E55" s="10"/>
      <c r="F55" s="10"/>
      <c r="G55" s="11"/>
    </row>
    <row r="56" spans="1:8" x14ac:dyDescent="0.3">
      <c r="A56" s="9"/>
      <c r="B56" s="9"/>
      <c r="C56" s="9"/>
      <c r="D56" s="10"/>
      <c r="E56" s="10"/>
      <c r="F56" s="10"/>
      <c r="G56" s="11"/>
    </row>
    <row r="57" spans="1:8" x14ac:dyDescent="0.3">
      <c r="A57" s="9"/>
      <c r="B57" s="9"/>
      <c r="C57" s="9"/>
      <c r="D57" s="10"/>
      <c r="E57" s="10"/>
      <c r="F57" s="10"/>
      <c r="G57" s="11"/>
    </row>
    <row r="58" spans="1:8" x14ac:dyDescent="0.3">
      <c r="A58" s="9"/>
      <c r="B58" s="9"/>
      <c r="C58" s="9"/>
      <c r="D58" s="10"/>
      <c r="E58" s="10"/>
      <c r="F58" s="10"/>
      <c r="G58" s="11"/>
      <c r="H58" s="16"/>
    </row>
    <row r="59" spans="1:8" x14ac:dyDescent="0.3">
      <c r="A59" s="9"/>
      <c r="B59" s="9"/>
      <c r="C59" s="9"/>
      <c r="D59" s="10"/>
      <c r="E59" s="10"/>
      <c r="F59" s="10"/>
      <c r="G59" s="11"/>
      <c r="H59" s="16"/>
    </row>
    <row r="60" spans="1:8" x14ac:dyDescent="0.3">
      <c r="A60" s="9"/>
      <c r="B60" s="9"/>
      <c r="C60" s="9"/>
      <c r="D60" s="10"/>
      <c r="E60" s="10"/>
      <c r="F60" s="10"/>
      <c r="G60" s="11"/>
    </row>
    <row r="61" spans="1:8" x14ac:dyDescent="0.3">
      <c r="A61" s="9"/>
      <c r="B61" s="9"/>
      <c r="C61" s="9"/>
      <c r="D61" s="10"/>
      <c r="E61" s="10"/>
      <c r="F61" s="10"/>
      <c r="G61" s="11"/>
    </row>
    <row r="62" spans="1:8" x14ac:dyDescent="0.3">
      <c r="A62" s="9"/>
      <c r="B62" s="9"/>
      <c r="C62" s="9"/>
      <c r="D62" s="10"/>
      <c r="E62" s="10"/>
      <c r="F62" s="10"/>
      <c r="G62" s="11"/>
    </row>
    <row r="63" spans="1:8" x14ac:dyDescent="0.3">
      <c r="A63" s="9"/>
      <c r="B63" s="9"/>
      <c r="C63" s="9"/>
      <c r="D63" s="10"/>
      <c r="E63" s="10"/>
      <c r="F63" s="10"/>
      <c r="G63" s="11"/>
    </row>
    <row r="64" spans="1:8" x14ac:dyDescent="0.3">
      <c r="A64" s="9"/>
      <c r="B64" s="9"/>
      <c r="C64" s="9"/>
      <c r="D64" s="10"/>
      <c r="E64" s="10"/>
      <c r="F64" s="10"/>
      <c r="G64" s="11"/>
    </row>
    <row r="65" spans="1:8" x14ac:dyDescent="0.3">
      <c r="A65" s="9"/>
      <c r="B65" s="9"/>
      <c r="C65" s="9"/>
      <c r="D65" s="19"/>
      <c r="E65" s="19"/>
      <c r="F65" s="12"/>
      <c r="G65" s="11"/>
      <c r="H65" s="16"/>
    </row>
    <row r="66" spans="1:8" x14ac:dyDescent="0.3">
      <c r="A66" s="9"/>
      <c r="B66" s="9"/>
      <c r="C66" s="9"/>
      <c r="D66" s="10"/>
      <c r="E66" s="10"/>
      <c r="F66" s="12"/>
      <c r="G66" s="11"/>
    </row>
    <row r="67" spans="1:8" x14ac:dyDescent="0.3">
      <c r="A67" s="9"/>
      <c r="B67" s="9"/>
      <c r="C67" s="9"/>
      <c r="D67" s="19"/>
      <c r="E67" s="19"/>
      <c r="F67" s="12"/>
      <c r="G67" s="11"/>
    </row>
    <row r="68" spans="1:8" x14ac:dyDescent="0.3">
      <c r="A68" s="9"/>
      <c r="B68" s="9"/>
      <c r="C68" s="9"/>
      <c r="D68" s="19"/>
      <c r="E68" s="19"/>
      <c r="F68" s="12"/>
      <c r="G68" s="11"/>
    </row>
    <row r="69" spans="1:8" x14ac:dyDescent="0.3">
      <c r="A69" s="9"/>
      <c r="B69" s="9"/>
      <c r="C69" s="9"/>
      <c r="D69" s="19"/>
      <c r="E69" s="19"/>
      <c r="F69" s="12"/>
      <c r="G69" s="11"/>
    </row>
    <row r="70" spans="1:8" x14ac:dyDescent="0.3">
      <c r="A70" s="9"/>
      <c r="B70" s="9"/>
      <c r="C70" s="9"/>
      <c r="D70" s="10"/>
      <c r="E70" s="10"/>
      <c r="F70" s="12"/>
      <c r="G70" s="11"/>
      <c r="H70" s="16"/>
    </row>
    <row r="71" spans="1:8" x14ac:dyDescent="0.3">
      <c r="A71" s="9"/>
      <c r="B71" s="9"/>
      <c r="C71" s="9"/>
      <c r="D71" s="19"/>
      <c r="E71" s="19"/>
      <c r="F71" s="12"/>
      <c r="G71" s="11"/>
    </row>
    <row r="72" spans="1:8" x14ac:dyDescent="0.3">
      <c r="A72" s="9"/>
      <c r="B72" s="9"/>
      <c r="C72" s="9"/>
      <c r="D72" s="19"/>
      <c r="E72" s="19"/>
      <c r="F72" s="20"/>
      <c r="G72" s="11"/>
    </row>
    <row r="73" spans="1:8" x14ac:dyDescent="0.3">
      <c r="A73" s="9"/>
      <c r="B73" s="9"/>
      <c r="C73" s="9"/>
      <c r="D73" s="19"/>
      <c r="E73" s="19"/>
      <c r="F73" s="20"/>
      <c r="G73" s="11"/>
    </row>
    <row r="74" spans="1:8" x14ac:dyDescent="0.3">
      <c r="A74" s="9"/>
      <c r="B74" s="9"/>
      <c r="C74" s="9"/>
      <c r="D74" s="14"/>
      <c r="E74" s="10"/>
      <c r="F74" s="19"/>
      <c r="G74" s="22"/>
      <c r="H74" s="16"/>
    </row>
    <row r="75" spans="1:8" x14ac:dyDescent="0.3">
      <c r="A75" s="9"/>
      <c r="B75" s="9"/>
      <c r="C75" s="9"/>
      <c r="D75" s="14"/>
      <c r="E75" s="10"/>
      <c r="F75" s="17"/>
      <c r="G75" s="11"/>
    </row>
    <row r="76" spans="1:8" x14ac:dyDescent="0.3">
      <c r="A76" s="9"/>
      <c r="B76" s="9"/>
      <c r="C76" s="9"/>
      <c r="D76" s="14"/>
      <c r="E76" s="10"/>
      <c r="F76" s="7"/>
      <c r="G76" s="11"/>
      <c r="H76" s="16"/>
    </row>
    <row r="77" spans="1:8" x14ac:dyDescent="0.3">
      <c r="A77" s="9"/>
      <c r="B77" s="27"/>
      <c r="C77" s="27"/>
      <c r="D77" s="28"/>
      <c r="E77" s="28"/>
      <c r="F77"/>
      <c r="G77" s="29"/>
      <c r="H77" s="30"/>
    </row>
    <row r="78" spans="1:8" x14ac:dyDescent="0.3">
      <c r="A78" s="9"/>
      <c r="B78" s="27"/>
      <c r="C78" s="27"/>
      <c r="D78" s="28"/>
      <c r="E78" s="28"/>
      <c r="F78"/>
      <c r="G78" s="29"/>
      <c r="H78" s="30"/>
    </row>
    <row r="79" spans="1:8" x14ac:dyDescent="0.3">
      <c r="A79" s="9"/>
      <c r="B79" s="9"/>
      <c r="C79" s="9"/>
      <c r="D79" s="10"/>
      <c r="E79" s="10"/>
      <c r="F79" s="17"/>
      <c r="G79" s="22"/>
      <c r="H79" s="16"/>
    </row>
    <row r="80" spans="1:8" x14ac:dyDescent="0.3">
      <c r="A80" s="9"/>
      <c r="B80" s="9"/>
      <c r="C80" s="9"/>
      <c r="D80" s="10"/>
      <c r="E80" s="10"/>
      <c r="F80" s="17"/>
      <c r="G80" s="11"/>
    </row>
    <row r="81" spans="1:8" x14ac:dyDescent="0.3">
      <c r="A81" s="9"/>
      <c r="B81" s="9"/>
      <c r="C81" s="9"/>
      <c r="D81" s="10"/>
      <c r="E81" s="10"/>
      <c r="F81" s="10"/>
      <c r="G81" s="11"/>
    </row>
    <row r="82" spans="1:8" x14ac:dyDescent="0.3">
      <c r="A82" s="9"/>
      <c r="B82" s="9"/>
      <c r="C82" s="9"/>
      <c r="D82" s="10"/>
      <c r="E82" s="10"/>
      <c r="F82" s="17"/>
      <c r="G82" s="22"/>
      <c r="H82" s="16"/>
    </row>
    <row r="83" spans="1:8" x14ac:dyDescent="0.3">
      <c r="A83" s="9"/>
      <c r="B83" s="9"/>
      <c r="C83" s="9"/>
      <c r="D83" s="10"/>
      <c r="E83" s="10"/>
      <c r="F83" s="10"/>
      <c r="G83" s="11"/>
    </row>
    <row r="84" spans="1:8" x14ac:dyDescent="0.3">
      <c r="A84" s="9"/>
      <c r="B84" s="9"/>
      <c r="C84" s="9"/>
      <c r="D84" s="21"/>
      <c r="E84" s="10"/>
      <c r="F84" s="20"/>
      <c r="G84" s="11"/>
    </row>
    <row r="85" spans="1:8" x14ac:dyDescent="0.3">
      <c r="A85" s="9"/>
      <c r="B85" s="9"/>
      <c r="C85" s="9"/>
      <c r="D85" s="10"/>
      <c r="E85" s="10"/>
      <c r="F85" s="20"/>
      <c r="G85" s="11"/>
    </row>
    <row r="86" spans="1:8" x14ac:dyDescent="0.3">
      <c r="A86" s="18"/>
      <c r="B86" s="9"/>
      <c r="C86" s="9"/>
      <c r="D86" s="19"/>
      <c r="E86" s="10"/>
      <c r="F86" s="12"/>
      <c r="G86" s="11"/>
    </row>
    <row r="87" spans="1:8" x14ac:dyDescent="0.3">
      <c r="A87" s="18"/>
      <c r="B87" s="9"/>
      <c r="C87" s="9"/>
      <c r="D87" s="19"/>
      <c r="E87" s="10"/>
      <c r="F87" s="12"/>
      <c r="G87" s="11"/>
    </row>
    <row r="88" spans="1:8" x14ac:dyDescent="0.3">
      <c r="A88" s="18"/>
      <c r="B88" s="9"/>
      <c r="C88" s="9"/>
      <c r="D88" s="10"/>
      <c r="E88" s="10"/>
      <c r="F88" s="12"/>
      <c r="G88" s="11"/>
    </row>
    <row r="89" spans="1:8" x14ac:dyDescent="0.3">
      <c r="A89" s="18"/>
      <c r="B89" s="9"/>
      <c r="C89" s="9"/>
      <c r="D89" s="19"/>
      <c r="E89" s="10"/>
      <c r="F89" s="12"/>
      <c r="G89" s="11"/>
    </row>
    <row r="90" spans="1:8" x14ac:dyDescent="0.3">
      <c r="A90" s="18"/>
      <c r="B90" s="9"/>
      <c r="C90" s="9"/>
      <c r="D90" s="19"/>
      <c r="E90" s="10"/>
      <c r="F90" s="12"/>
      <c r="G90" s="11"/>
    </row>
    <row r="91" spans="1:8" x14ac:dyDescent="0.3">
      <c r="A91" s="18"/>
      <c r="B91" s="9"/>
      <c r="C91" s="9"/>
      <c r="D91" s="19"/>
      <c r="E91" s="10"/>
      <c r="F91" s="12"/>
      <c r="G91" s="11"/>
    </row>
    <row r="92" spans="1:8" x14ac:dyDescent="0.3">
      <c r="A92" s="18"/>
      <c r="B92" s="9"/>
      <c r="C92" s="9"/>
      <c r="D92" s="19"/>
      <c r="E92" s="10"/>
      <c r="F92" s="12"/>
      <c r="G92" s="11"/>
    </row>
    <row r="93" spans="1:8" x14ac:dyDescent="0.3">
      <c r="A93" s="18"/>
      <c r="B93" s="9"/>
      <c r="C93" s="9"/>
      <c r="D93" s="10"/>
      <c r="E93" s="10"/>
      <c r="F93" s="12"/>
      <c r="G93" s="11"/>
    </row>
    <row r="94" spans="1:8" x14ac:dyDescent="0.3">
      <c r="A94" s="18"/>
      <c r="B94" s="9"/>
      <c r="C94" s="9"/>
      <c r="D94" s="19"/>
      <c r="E94" s="10"/>
      <c r="F94" s="20"/>
      <c r="G94" s="11"/>
    </row>
    <row r="95" spans="1:8" x14ac:dyDescent="0.3">
      <c r="A95" s="18"/>
      <c r="B95" s="9"/>
      <c r="C95" s="9"/>
      <c r="D95" s="19"/>
      <c r="E95" s="10"/>
      <c r="F95" s="20"/>
      <c r="G95" s="11"/>
    </row>
    <row r="96" spans="1:8" x14ac:dyDescent="0.3">
      <c r="A96" s="18"/>
      <c r="B96" s="9"/>
      <c r="C96" s="9"/>
      <c r="D96" s="14"/>
      <c r="E96" s="10"/>
      <c r="F96" s="17"/>
      <c r="G96" s="11"/>
      <c r="H96" s="14"/>
    </row>
    <row r="97" spans="1:7" x14ac:dyDescent="0.3">
      <c r="A97" s="18"/>
      <c r="B97" s="9"/>
      <c r="C97" s="9"/>
      <c r="D97" s="17"/>
      <c r="E97" s="10"/>
      <c r="F97" s="17"/>
      <c r="G97" s="11"/>
    </row>
    <row r="98" spans="1:7" x14ac:dyDescent="0.3">
      <c r="A98" s="18"/>
      <c r="B98" s="9"/>
      <c r="C98" s="9"/>
      <c r="D98" s="17"/>
      <c r="F98" s="17"/>
      <c r="G98" s="11"/>
    </row>
    <row r="99" spans="1:7" x14ac:dyDescent="0.3">
      <c r="A99" s="18"/>
      <c r="B99" s="9"/>
      <c r="C99" s="9"/>
      <c r="D99" s="17"/>
      <c r="E99" s="10"/>
      <c r="F99" s="17"/>
      <c r="G99" s="11"/>
    </row>
    <row r="100" spans="1:7" x14ac:dyDescent="0.3">
      <c r="A100" s="18"/>
      <c r="B100" s="9"/>
      <c r="C100" s="9"/>
      <c r="D100" s="17"/>
      <c r="F100" s="17"/>
      <c r="G100" s="11"/>
    </row>
    <row r="101" spans="1:7" x14ac:dyDescent="0.3">
      <c r="A101" s="18"/>
      <c r="B101" s="9"/>
      <c r="C101" s="9"/>
      <c r="D101" s="17"/>
      <c r="E101" s="10"/>
      <c r="F101" s="17"/>
      <c r="G101" s="11"/>
    </row>
    <row r="102" spans="1:7" x14ac:dyDescent="0.3">
      <c r="A102" s="18"/>
      <c r="B102" s="9"/>
      <c r="C102" s="9"/>
      <c r="D102" s="17"/>
      <c r="F102" s="17"/>
      <c r="G102" s="11"/>
    </row>
    <row r="103" spans="1:7" x14ac:dyDescent="0.3">
      <c r="A103" s="18"/>
      <c r="B103" s="9"/>
      <c r="C103" s="9"/>
      <c r="D103" s="17"/>
      <c r="E103" s="10"/>
      <c r="F103" s="17"/>
      <c r="G103" s="11"/>
    </row>
    <row r="104" spans="1:7" x14ac:dyDescent="0.3">
      <c r="A104" s="18"/>
      <c r="B104" s="9"/>
      <c r="C104" s="9"/>
      <c r="D104" s="17"/>
      <c r="F104" s="17"/>
      <c r="G104" s="11"/>
    </row>
    <row r="105" spans="1:7" x14ac:dyDescent="0.3">
      <c r="A105" s="18"/>
      <c r="B105" s="9"/>
      <c r="C105" s="9"/>
      <c r="D105" s="17"/>
      <c r="E105" s="10"/>
      <c r="F105" s="17"/>
      <c r="G105" s="11"/>
    </row>
    <row r="106" spans="1:7" x14ac:dyDescent="0.3">
      <c r="A106" s="18"/>
      <c r="B106" s="9"/>
      <c r="C106" s="9"/>
      <c r="D106" s="17"/>
      <c r="F106" s="17"/>
      <c r="G106" s="11"/>
    </row>
    <row r="107" spans="1:7" x14ac:dyDescent="0.3">
      <c r="A107" s="18"/>
      <c r="B107" s="9"/>
      <c r="C107" s="9"/>
      <c r="D107" s="17"/>
      <c r="E107" s="10"/>
      <c r="F107" s="17"/>
      <c r="G107" s="11"/>
    </row>
    <row r="108" spans="1:7" x14ac:dyDescent="0.3">
      <c r="A108" s="18"/>
      <c r="B108" s="9"/>
      <c r="C108" s="9"/>
      <c r="D108" s="17"/>
      <c r="F108" s="17"/>
      <c r="G108" s="11"/>
    </row>
    <row r="109" spans="1:7" x14ac:dyDescent="0.3">
      <c r="A109" s="18"/>
      <c r="B109" s="9"/>
      <c r="C109" s="9"/>
      <c r="D109" s="17"/>
      <c r="E109" s="10"/>
      <c r="F109" s="17"/>
      <c r="G109" s="11"/>
    </row>
    <row r="110" spans="1:7" x14ac:dyDescent="0.3">
      <c r="A110" s="18"/>
      <c r="B110" s="9"/>
      <c r="C110" s="9"/>
      <c r="D110" s="17"/>
      <c r="F110" s="17"/>
      <c r="G110" s="11"/>
    </row>
    <row r="111" spans="1:7" x14ac:dyDescent="0.3">
      <c r="A111" s="18"/>
      <c r="B111" s="9"/>
      <c r="C111" s="9"/>
      <c r="D111" s="17"/>
      <c r="E111" s="10"/>
      <c r="F111" s="17"/>
      <c r="G111" s="11"/>
    </row>
    <row r="112" spans="1:7" x14ac:dyDescent="0.3">
      <c r="A112" s="18"/>
      <c r="B112" s="9"/>
      <c r="C112" s="9"/>
      <c r="D112" s="17"/>
      <c r="F112" s="17"/>
      <c r="G112" s="11"/>
    </row>
    <row r="113" spans="1:8" x14ac:dyDescent="0.3">
      <c r="A113" s="18"/>
      <c r="B113" s="9"/>
      <c r="C113" s="9"/>
      <c r="D113" s="19"/>
      <c r="E113" s="21"/>
      <c r="F113" s="20"/>
      <c r="G113" s="11"/>
    </row>
    <row r="114" spans="1:8" x14ac:dyDescent="0.3">
      <c r="A114" s="18"/>
      <c r="B114" s="9"/>
      <c r="C114" s="9"/>
      <c r="D114" s="19"/>
      <c r="E114" s="21"/>
      <c r="F114" s="20"/>
      <c r="G114" s="11"/>
    </row>
    <row r="115" spans="1:8" x14ac:dyDescent="0.3">
      <c r="A115" s="9"/>
      <c r="B115" s="9"/>
      <c r="C115" s="9"/>
      <c r="D115" s="19"/>
      <c r="E115" s="21"/>
      <c r="F115" s="17"/>
      <c r="G115" s="11"/>
      <c r="H115" s="14"/>
    </row>
  </sheetData>
  <sortState xmlns:xlrd2="http://schemas.microsoft.com/office/spreadsheetml/2017/richdata2" ref="A2:H13">
    <sortCondition descending="1" ref="B2:B13"/>
    <sortCondition ref="A2:A13"/>
  </sortState>
  <phoneticPr fontId="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388620</xdr:colOff>
                    <xdr:row>0</xdr:row>
                    <xdr:rowOff>30480</xdr:rowOff>
                  </from>
                  <to>
                    <xdr:col>11</xdr:col>
                    <xdr:colOff>381000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22860</xdr:rowOff>
                  </from>
                  <to>
                    <xdr:col>11</xdr:col>
                    <xdr:colOff>373380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388620</xdr:colOff>
                    <xdr:row>1</xdr:row>
                    <xdr:rowOff>99060</xdr:rowOff>
                  </from>
                  <to>
                    <xdr:col>11</xdr:col>
                    <xdr:colOff>381000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403860</xdr:colOff>
                    <xdr:row>4</xdr:row>
                    <xdr:rowOff>7620</xdr:rowOff>
                  </from>
                  <to>
                    <xdr:col>11</xdr:col>
                    <xdr:colOff>388620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131"/>
  <sheetViews>
    <sheetView workbookViewId="0"/>
  </sheetViews>
  <sheetFormatPr baseColWidth="10" defaultRowHeight="14.4" x14ac:dyDescent="0.3"/>
  <sheetData>
    <row r="1" spans="1:1" x14ac:dyDescent="0.3">
      <c r="A1" t="s">
        <v>11</v>
      </c>
    </row>
    <row r="2" spans="1:1" x14ac:dyDescent="0.3">
      <c r="A2" t="s">
        <v>12</v>
      </c>
    </row>
    <row r="3" spans="1:1" x14ac:dyDescent="0.3">
      <c r="A3" t="s">
        <v>13</v>
      </c>
    </row>
    <row r="4" spans="1:1" x14ac:dyDescent="0.3">
      <c r="A4" t="str">
        <f>"# | Version TRANSFORMERS : "&amp;TEXT(Accueil!P2,"JJ/MM/AAAA")</f>
        <v># | Version TRANSFORMERS : 19/05/2021</v>
      </c>
    </row>
    <row r="5" spans="1:1" x14ac:dyDescent="0.3">
      <c r="A5" t="str">
        <f>"# | Version PARPRE : "&amp;TEXT(Accueil!R1,"JJ/MM/AAAA")</f>
        <v># | Version PARPRE : 19/11/2021</v>
      </c>
    </row>
    <row r="6" spans="1:1" x14ac:dyDescent="0.3">
      <c r="A6" t="str">
        <f>"# | Version EBO : "&amp;TEXT(Accueil!R2,"JJ/MM/AAAA")</f>
        <v># | Version EBO : 01/01/1900</v>
      </c>
    </row>
    <row r="7" spans="1:1" x14ac:dyDescent="0.3">
      <c r="A7" t="str">
        <f ca="1">CONCATENATE("# | Date creation  : ",TEXT(NOW(),"jj/mm/aaaa hh:mm:ss"))</f>
        <v># | Date creation  : 18/06/2021 21:06:37</v>
      </c>
    </row>
    <row r="8" spans="1:1" x14ac:dyDescent="0.3">
      <c r="A8" t="s">
        <v>12</v>
      </c>
    </row>
    <row r="9" spans="1:1" x14ac:dyDescent="0.3">
      <c r="A9" t="s">
        <v>14</v>
      </c>
    </row>
    <row r="10" spans="1:1" x14ac:dyDescent="0.3">
      <c r="A10" t="s">
        <v>15</v>
      </c>
    </row>
    <row r="11" spans="1:1" x14ac:dyDescent="0.3">
      <c r="A11" t="s">
        <v>16</v>
      </c>
    </row>
    <row r="12" spans="1:1" x14ac:dyDescent="0.3">
      <c r="A12" t="s">
        <v>15</v>
      </c>
    </row>
    <row r="13" spans="1:1" x14ac:dyDescent="0.3">
      <c r="A13" t="s">
        <v>17</v>
      </c>
    </row>
    <row r="14" spans="1:1" x14ac:dyDescent="0.3">
      <c r="A14" t="s">
        <v>12</v>
      </c>
    </row>
    <row r="15" spans="1:1" x14ac:dyDescent="0.3">
      <c r="A15" t="s">
        <v>18</v>
      </c>
    </row>
    <row r="16" spans="1:1" x14ac:dyDescent="0.3">
      <c r="A16" t="s">
        <v>15</v>
      </c>
    </row>
    <row r="17" spans="1:1" x14ac:dyDescent="0.3">
      <c r="A17" t="s">
        <v>19</v>
      </c>
    </row>
    <row r="18" spans="1:1" x14ac:dyDescent="0.3">
      <c r="A18" t="s">
        <v>12</v>
      </c>
    </row>
    <row r="20" spans="1:1" x14ac:dyDescent="0.3">
      <c r="A20" t="s">
        <v>20</v>
      </c>
    </row>
    <row r="21" spans="1:1" x14ac:dyDescent="0.3">
      <c r="A21" t="s">
        <v>21</v>
      </c>
    </row>
    <row r="22" spans="1:1" x14ac:dyDescent="0.3">
      <c r="A22" t="s">
        <v>123</v>
      </c>
    </row>
    <row r="23" spans="1:1" x14ac:dyDescent="0.3">
      <c r="A23" t="s">
        <v>22</v>
      </c>
    </row>
    <row r="24" spans="1:1" x14ac:dyDescent="0.3">
      <c r="A24" t="s">
        <v>23</v>
      </c>
    </row>
    <row r="25" spans="1:1" x14ac:dyDescent="0.3">
      <c r="A25" t="s">
        <v>24</v>
      </c>
    </row>
    <row r="27" spans="1:1" x14ac:dyDescent="0.3">
      <c r="A27" t="s">
        <v>25</v>
      </c>
    </row>
    <row r="28" spans="1:1" x14ac:dyDescent="0.3">
      <c r="A28" t="s">
        <v>26</v>
      </c>
    </row>
    <row r="30" spans="1:1" x14ac:dyDescent="0.3">
      <c r="A30" t="s">
        <v>27</v>
      </c>
    </row>
    <row r="31" spans="1:1" x14ac:dyDescent="0.3">
      <c r="A31" t="s">
        <v>28</v>
      </c>
    </row>
    <row r="32" spans="1:1" x14ac:dyDescent="0.3">
      <c r="A32" t="s">
        <v>29</v>
      </c>
    </row>
    <row r="33" spans="1:1" x14ac:dyDescent="0.3">
      <c r="A33" t="s">
        <v>30</v>
      </c>
    </row>
    <row r="34" spans="1:1" x14ac:dyDescent="0.3">
      <c r="A34" t="s">
        <v>31</v>
      </c>
    </row>
    <row r="35" spans="1:1" x14ac:dyDescent="0.3">
      <c r="A35" t="s">
        <v>121</v>
      </c>
    </row>
    <row r="36" spans="1:1" x14ac:dyDescent="0.3">
      <c r="A36" t="s">
        <v>122</v>
      </c>
    </row>
    <row r="37" spans="1:1" x14ac:dyDescent="0.3">
      <c r="A37" t="s">
        <v>32</v>
      </c>
    </row>
    <row r="38" spans="1:1" x14ac:dyDescent="0.3">
      <c r="A38" t="s">
        <v>122</v>
      </c>
    </row>
    <row r="39" spans="1:1" x14ac:dyDescent="0.3">
      <c r="A39" t="s">
        <v>121</v>
      </c>
    </row>
    <row r="40" spans="1:1" x14ac:dyDescent="0.3">
      <c r="A40" t="s">
        <v>33</v>
      </c>
    </row>
    <row r="41" spans="1:1" x14ac:dyDescent="0.3">
      <c r="A41" t="s">
        <v>34</v>
      </c>
    </row>
    <row r="43" spans="1:1" x14ac:dyDescent="0.3">
      <c r="A43" t="s">
        <v>35</v>
      </c>
    </row>
    <row r="44" spans="1:1" x14ac:dyDescent="0.3">
      <c r="A44" t="s">
        <v>36</v>
      </c>
    </row>
    <row r="45" spans="1:1" x14ac:dyDescent="0.3">
      <c r="A45" t="s">
        <v>37</v>
      </c>
    </row>
    <row r="46" spans="1:1" x14ac:dyDescent="0.3">
      <c r="A46" t="s">
        <v>38</v>
      </c>
    </row>
    <row r="47" spans="1:1" x14ac:dyDescent="0.3">
      <c r="A47" t="s">
        <v>39</v>
      </c>
    </row>
    <row r="48" spans="1:1" x14ac:dyDescent="0.3">
      <c r="A48" t="s">
        <v>40</v>
      </c>
    </row>
    <row r="49" spans="1:1" x14ac:dyDescent="0.3">
      <c r="A49" t="s">
        <v>41</v>
      </c>
    </row>
    <row r="51" spans="1:1" x14ac:dyDescent="0.3">
      <c r="A51" t="s">
        <v>42</v>
      </c>
    </row>
    <row r="52" spans="1:1" x14ac:dyDescent="0.3">
      <c r="A52" t="s">
        <v>43</v>
      </c>
    </row>
    <row r="53" spans="1:1" x14ac:dyDescent="0.3">
      <c r="A53" t="s">
        <v>44</v>
      </c>
    </row>
    <row r="54" spans="1:1" x14ac:dyDescent="0.3">
      <c r="A54" t="s">
        <v>41</v>
      </c>
    </row>
    <row r="56" spans="1:1" x14ac:dyDescent="0.3">
      <c r="A56" t="s">
        <v>117</v>
      </c>
    </row>
    <row r="57" spans="1:1" x14ac:dyDescent="0.3">
      <c r="A57" t="s">
        <v>119</v>
      </c>
    </row>
    <row r="58" spans="1:1" x14ac:dyDescent="0.3">
      <c r="A58" t="s">
        <v>120</v>
      </c>
    </row>
    <row r="59" spans="1:1" x14ac:dyDescent="0.3">
      <c r="A59" t="s">
        <v>41</v>
      </c>
    </row>
    <row r="61" spans="1:1" x14ac:dyDescent="0.3">
      <c r="A61" t="s">
        <v>45</v>
      </c>
    </row>
    <row r="62" spans="1:1" x14ac:dyDescent="0.3">
      <c r="A62" t="s">
        <v>121</v>
      </c>
    </row>
    <row r="63" spans="1:1" x14ac:dyDescent="0.3">
      <c r="A63" t="s">
        <v>122</v>
      </c>
    </row>
    <row r="64" spans="1:1" x14ac:dyDescent="0.3">
      <c r="A64" t="s">
        <v>118</v>
      </c>
    </row>
    <row r="65" spans="1:1" x14ac:dyDescent="0.3">
      <c r="A65" t="s">
        <v>122</v>
      </c>
    </row>
    <row r="66" spans="1:1" x14ac:dyDescent="0.3">
      <c r="A66" t="s">
        <v>121</v>
      </c>
    </row>
    <row r="67" spans="1:1" x14ac:dyDescent="0.3">
      <c r="A67" t="s">
        <v>46</v>
      </c>
    </row>
    <row r="68" spans="1:1" x14ac:dyDescent="0.3">
      <c r="A68" t="s">
        <v>41</v>
      </c>
    </row>
    <row r="69" spans="1:1" x14ac:dyDescent="0.3">
      <c r="A69" t="s">
        <v>47</v>
      </c>
    </row>
    <row r="71" spans="1:1" x14ac:dyDescent="0.3">
      <c r="A71" t="s">
        <v>48</v>
      </c>
    </row>
    <row r="72" spans="1:1" x14ac:dyDescent="0.3">
      <c r="A72" t="s">
        <v>28</v>
      </c>
    </row>
    <row r="73" spans="1:1" x14ac:dyDescent="0.3">
      <c r="A73" t="s">
        <v>49</v>
      </c>
    </row>
    <row r="74" spans="1:1" x14ac:dyDescent="0.3">
      <c r="A74" t="s">
        <v>34</v>
      </c>
    </row>
    <row r="75" spans="1:1" x14ac:dyDescent="0.3">
      <c r="A75" t="s">
        <v>50</v>
      </c>
    </row>
    <row r="76" spans="1:1" x14ac:dyDescent="0.3">
      <c r="A76" t="s">
        <v>51</v>
      </c>
    </row>
    <row r="77" spans="1:1" x14ac:dyDescent="0.3">
      <c r="A77" t="s">
        <v>28</v>
      </c>
    </row>
    <row r="78" spans="1:1" x14ac:dyDescent="0.3">
      <c r="A78" t="s">
        <v>52</v>
      </c>
    </row>
    <row r="79" spans="1:1" x14ac:dyDescent="0.3">
      <c r="A79" t="s">
        <v>34</v>
      </c>
    </row>
    <row r="81" spans="1:1" x14ac:dyDescent="0.3">
      <c r="A81" t="s">
        <v>53</v>
      </c>
    </row>
    <row r="82" spans="1:1" x14ac:dyDescent="0.3">
      <c r="A82" t="s">
        <v>28</v>
      </c>
    </row>
    <row r="83" spans="1:1" x14ac:dyDescent="0.3">
      <c r="A83" t="s">
        <v>54</v>
      </c>
    </row>
    <row r="84" spans="1:1" x14ac:dyDescent="0.3">
      <c r="A84" t="s">
        <v>34</v>
      </c>
    </row>
    <row r="86" spans="1:1" x14ac:dyDescent="0.3">
      <c r="A86" t="s">
        <v>55</v>
      </c>
    </row>
    <row r="87" spans="1:1" x14ac:dyDescent="0.3">
      <c r="A87" t="s">
        <v>28</v>
      </c>
    </row>
    <row r="88" spans="1:1" x14ac:dyDescent="0.3">
      <c r="A88" t="s">
        <v>56</v>
      </c>
    </row>
    <row r="89" spans="1:1" x14ac:dyDescent="0.3">
      <c r="A89" t="s">
        <v>34</v>
      </c>
    </row>
    <row r="91" spans="1:1" x14ac:dyDescent="0.3">
      <c r="A91" t="s">
        <v>57</v>
      </c>
    </row>
    <row r="92" spans="1:1" x14ac:dyDescent="0.3">
      <c r="A92" t="s">
        <v>58</v>
      </c>
    </row>
    <row r="93" spans="1:1" x14ac:dyDescent="0.3">
      <c r="A93" t="s">
        <v>31</v>
      </c>
    </row>
    <row r="94" spans="1:1" x14ac:dyDescent="0.3">
      <c r="A94" t="s">
        <v>59</v>
      </c>
    </row>
    <row r="95" spans="1:1" x14ac:dyDescent="0.3">
      <c r="A95" t="s">
        <v>60</v>
      </c>
    </row>
    <row r="96" spans="1:1" x14ac:dyDescent="0.3">
      <c r="A96" t="s">
        <v>61</v>
      </c>
    </row>
    <row r="97" spans="1:1" x14ac:dyDescent="0.3">
      <c r="A97" t="s">
        <v>33</v>
      </c>
    </row>
    <row r="98" spans="1:1" x14ac:dyDescent="0.3">
      <c r="A98" t="s">
        <v>62</v>
      </c>
    </row>
    <row r="100" spans="1:1" x14ac:dyDescent="0.3">
      <c r="A100" t="s">
        <v>63</v>
      </c>
    </row>
    <row r="101" spans="1:1" x14ac:dyDescent="0.3">
      <c r="A101" t="s">
        <v>58</v>
      </c>
    </row>
    <row r="102" spans="1:1" x14ac:dyDescent="0.3">
      <c r="A102" t="s">
        <v>31</v>
      </c>
    </row>
    <row r="103" spans="1:1" x14ac:dyDescent="0.3">
      <c r="A103" t="s">
        <v>64</v>
      </c>
    </row>
    <row r="104" spans="1:1" x14ac:dyDescent="0.3">
      <c r="A104" t="s">
        <v>60</v>
      </c>
    </row>
    <row r="105" spans="1:1" x14ac:dyDescent="0.3">
      <c r="A105" t="s">
        <v>65</v>
      </c>
    </row>
    <row r="106" spans="1:1" x14ac:dyDescent="0.3">
      <c r="A106" t="s">
        <v>33</v>
      </c>
    </row>
    <row r="107" spans="1:1" x14ac:dyDescent="0.3">
      <c r="A107" t="s">
        <v>62</v>
      </c>
    </row>
    <row r="109" spans="1:1" x14ac:dyDescent="0.3">
      <c r="A109" t="s">
        <v>66</v>
      </c>
    </row>
    <row r="110" spans="1:1" x14ac:dyDescent="0.3">
      <c r="A110" t="str">
        <f>"echo """&amp;A4&amp;""""</f>
        <v>echo "# | Version TRANSFORMERS : 19/05/2021"</v>
      </c>
    </row>
    <row r="111" spans="1:1" x14ac:dyDescent="0.3">
      <c r="A111" t="str">
        <f>"echo """&amp;A5&amp;""""</f>
        <v>echo "# | Version PARPRE : 19/11/2021"</v>
      </c>
    </row>
    <row r="112" spans="1:1" x14ac:dyDescent="0.3">
      <c r="A112" t="str">
        <f>"echo """&amp;A6&amp;""""</f>
        <v>echo "# | Version EBO : 01/01/1900"</v>
      </c>
    </row>
    <row r="113" spans="1:1" x14ac:dyDescent="0.3">
      <c r="A113" t="str">
        <f ca="1">"echo """&amp;A7&amp;""""</f>
        <v>echo "# | Date creation  : 18/06/2021 21:06:37"</v>
      </c>
    </row>
    <row r="115" spans="1:1" x14ac:dyDescent="0.3">
      <c r="A115" t="s">
        <v>37</v>
      </c>
    </row>
    <row r="116" spans="1:1" x14ac:dyDescent="0.3">
      <c r="A116" t="s">
        <v>97</v>
      </c>
    </row>
    <row r="117" spans="1:1" x14ac:dyDescent="0.3">
      <c r="A117" t="s">
        <v>98</v>
      </c>
    </row>
    <row r="118" spans="1:1" x14ac:dyDescent="0.3">
      <c r="A118" t="s">
        <v>99</v>
      </c>
    </row>
    <row r="120" spans="1:1" x14ac:dyDescent="0.3">
      <c r="A120" t="s">
        <v>100</v>
      </c>
    </row>
    <row r="121" spans="1:1" x14ac:dyDescent="0.3">
      <c r="A121" t="s">
        <v>101</v>
      </c>
    </row>
    <row r="122" spans="1:1" x14ac:dyDescent="0.3">
      <c r="A122" t="s">
        <v>99</v>
      </c>
    </row>
    <row r="124" spans="1:1" x14ac:dyDescent="0.3">
      <c r="A124" t="s">
        <v>115</v>
      </c>
    </row>
    <row r="125" spans="1:1" x14ac:dyDescent="0.3">
      <c r="A125" t="s">
        <v>116</v>
      </c>
    </row>
    <row r="126" spans="1:1" x14ac:dyDescent="0.3">
      <c r="A126" t="s">
        <v>99</v>
      </c>
    </row>
    <row r="127" spans="1:1" x14ac:dyDescent="0.3">
      <c r="A127" t="s">
        <v>47</v>
      </c>
    </row>
    <row r="129" spans="1:1" x14ac:dyDescent="0.3">
      <c r="A129" t="s">
        <v>67</v>
      </c>
    </row>
    <row r="131" spans="1:1" x14ac:dyDescent="0.3">
      <c r="A131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9"/>
  <sheetViews>
    <sheetView workbookViewId="0"/>
  </sheetViews>
  <sheetFormatPr baseColWidth="10" defaultRowHeight="14.4" x14ac:dyDescent="0.3"/>
  <sheetData>
    <row r="1" spans="1:1" x14ac:dyDescent="0.3">
      <c r="A1" t="s">
        <v>69</v>
      </c>
    </row>
    <row r="2" spans="1:1" x14ac:dyDescent="0.3">
      <c r="A2" t="s">
        <v>70</v>
      </c>
    </row>
    <row r="3" spans="1:1" x14ac:dyDescent="0.3">
      <c r="A3" t="s">
        <v>103</v>
      </c>
    </row>
    <row r="4" spans="1:1" x14ac:dyDescent="0.3">
      <c r="A4" t="s">
        <v>71</v>
      </c>
    </row>
    <row r="5" spans="1:1" x14ac:dyDescent="0.3">
      <c r="A5" t="s">
        <v>72</v>
      </c>
    </row>
    <row r="6" spans="1:1" x14ac:dyDescent="0.3">
      <c r="A6" t="s">
        <v>73</v>
      </c>
    </row>
    <row r="7" spans="1:1" x14ac:dyDescent="0.3">
      <c r="A7" t="s">
        <v>74</v>
      </c>
    </row>
    <row r="8" spans="1:1" x14ac:dyDescent="0.3">
      <c r="A8" t="s">
        <v>75</v>
      </c>
    </row>
    <row r="9" spans="1:1" x14ac:dyDescent="0.3">
      <c r="A9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13"/>
  <sheetViews>
    <sheetView workbookViewId="0">
      <selection activeCell="A8" sqref="A8"/>
    </sheetView>
  </sheetViews>
  <sheetFormatPr baseColWidth="10" defaultRowHeight="14.4" x14ac:dyDescent="0.3"/>
  <sheetData>
    <row r="1" spans="1:1" x14ac:dyDescent="0.3">
      <c r="A1" s="3" t="s">
        <v>76</v>
      </c>
    </row>
    <row r="2" spans="1:1" x14ac:dyDescent="0.3">
      <c r="A2" s="3" t="s">
        <v>77</v>
      </c>
    </row>
    <row r="3" spans="1:1" x14ac:dyDescent="0.3">
      <c r="A3" s="3" t="s">
        <v>78</v>
      </c>
    </row>
    <row r="4" spans="1:1" x14ac:dyDescent="0.3">
      <c r="A4" s="3" t="s">
        <v>79</v>
      </c>
    </row>
    <row r="5" spans="1:1" x14ac:dyDescent="0.3">
      <c r="A5" s="3" t="s">
        <v>80</v>
      </c>
    </row>
    <row r="6" spans="1:1" x14ac:dyDescent="0.3">
      <c r="A6" s="3" t="s">
        <v>81</v>
      </c>
    </row>
    <row r="7" spans="1:1" x14ac:dyDescent="0.3">
      <c r="A7" s="3" t="s">
        <v>82</v>
      </c>
    </row>
    <row r="8" spans="1:1" x14ac:dyDescent="0.3">
      <c r="A8" s="3" t="s">
        <v>83</v>
      </c>
    </row>
    <row r="9" spans="1:1" x14ac:dyDescent="0.3">
      <c r="A9" s="3" t="s">
        <v>84</v>
      </c>
    </row>
    <row r="10" spans="1:1" x14ac:dyDescent="0.3">
      <c r="A10" s="3" t="s">
        <v>85</v>
      </c>
    </row>
    <row r="11" spans="1:1" x14ac:dyDescent="0.3">
      <c r="A11" s="3" t="s">
        <v>86</v>
      </c>
    </row>
    <row r="12" spans="1:1" x14ac:dyDescent="0.3">
      <c r="A12" s="3" t="s">
        <v>87</v>
      </c>
    </row>
    <row r="13" spans="1:1" x14ac:dyDescent="0.3">
      <c r="A13" s="3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13"/>
  <sheetViews>
    <sheetView workbookViewId="0"/>
  </sheetViews>
  <sheetFormatPr baseColWidth="10" defaultRowHeight="14.4" x14ac:dyDescent="0.3"/>
  <sheetData>
    <row r="1" spans="1:1" x14ac:dyDescent="0.3">
      <c r="A1" s="3" t="s">
        <v>76</v>
      </c>
    </row>
    <row r="2" spans="1:1" x14ac:dyDescent="0.3">
      <c r="A2" s="3" t="s">
        <v>77</v>
      </c>
    </row>
    <row r="3" spans="1:1" x14ac:dyDescent="0.3">
      <c r="A3" s="3" t="s">
        <v>78</v>
      </c>
    </row>
    <row r="4" spans="1:1" x14ac:dyDescent="0.3">
      <c r="A4" s="3" t="s">
        <v>79</v>
      </c>
    </row>
    <row r="5" spans="1:1" x14ac:dyDescent="0.3">
      <c r="A5" s="3" t="s">
        <v>80</v>
      </c>
    </row>
    <row r="6" spans="1:1" x14ac:dyDescent="0.3">
      <c r="A6" s="3" t="s">
        <v>81</v>
      </c>
    </row>
    <row r="7" spans="1:1" x14ac:dyDescent="0.3">
      <c r="A7" t="s">
        <v>89</v>
      </c>
    </row>
    <row r="8" spans="1:1" x14ac:dyDescent="0.3">
      <c r="A8" t="s">
        <v>90</v>
      </c>
    </row>
    <row r="9" spans="1:1" x14ac:dyDescent="0.3">
      <c r="A9" t="s">
        <v>87</v>
      </c>
    </row>
    <row r="10" spans="1:1" x14ac:dyDescent="0.3">
      <c r="A10" t="s">
        <v>86</v>
      </c>
    </row>
    <row r="11" spans="1:1" x14ac:dyDescent="0.3">
      <c r="A11" t="s">
        <v>84</v>
      </c>
    </row>
    <row r="12" spans="1:1" x14ac:dyDescent="0.3">
      <c r="A12" t="s">
        <v>85</v>
      </c>
    </row>
    <row r="13" spans="1:1" x14ac:dyDescent="0.3">
      <c r="A13" t="s">
        <v>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H37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4.4" x14ac:dyDescent="0.3"/>
  <cols>
    <col min="1" max="1" width="6.44140625" style="26" bestFit="1" customWidth="1"/>
    <col min="2" max="2" width="8" style="26" bestFit="1" customWidth="1"/>
    <col min="3" max="3" width="9.5546875" style="26" bestFit="1" customWidth="1"/>
    <col min="6" max="6" width="91.88671875" bestFit="1" customWidth="1"/>
    <col min="7" max="7" width="15.6640625" bestFit="1" customWidth="1"/>
  </cols>
  <sheetData>
    <row r="1" spans="1:8" ht="28.8" x14ac:dyDescent="0.3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25" t="s">
        <v>3</v>
      </c>
      <c r="G1" s="1" t="s">
        <v>4</v>
      </c>
      <c r="H1" s="5" t="s">
        <v>96</v>
      </c>
    </row>
    <row r="2" spans="1:8" x14ac:dyDescent="0.3">
      <c r="A2" s="26">
        <v>2</v>
      </c>
      <c r="B2" s="26" t="s">
        <v>106</v>
      </c>
      <c r="C2" s="26" t="s">
        <v>108</v>
      </c>
      <c r="D2" t="s">
        <v>127</v>
      </c>
      <c r="F2" t="s">
        <v>143</v>
      </c>
      <c r="G2" t="s">
        <v>124</v>
      </c>
    </row>
    <row r="3" spans="1:8" x14ac:dyDescent="0.3">
      <c r="A3" s="26">
        <v>4</v>
      </c>
      <c r="B3" s="26" t="s">
        <v>106</v>
      </c>
      <c r="C3" s="26" t="s">
        <v>108</v>
      </c>
      <c r="D3" t="s">
        <v>128</v>
      </c>
      <c r="F3" t="s">
        <v>130</v>
      </c>
      <c r="G3" t="s">
        <v>124</v>
      </c>
    </row>
    <row r="4" spans="1:8" x14ac:dyDescent="0.3">
      <c r="A4">
        <v>6</v>
      </c>
      <c r="B4" t="s">
        <v>106</v>
      </c>
      <c r="C4" t="s">
        <v>108</v>
      </c>
      <c r="D4" t="s">
        <v>128</v>
      </c>
      <c r="F4" t="s">
        <v>132</v>
      </c>
      <c r="G4" t="s">
        <v>124</v>
      </c>
    </row>
    <row r="5" spans="1:8" x14ac:dyDescent="0.3">
      <c r="A5"/>
      <c r="B5"/>
      <c r="C5"/>
    </row>
    <row r="6" spans="1:8" x14ac:dyDescent="0.3">
      <c r="A6"/>
      <c r="B6"/>
      <c r="C6"/>
    </row>
    <row r="7" spans="1:8" x14ac:dyDescent="0.3">
      <c r="A7"/>
      <c r="B7"/>
      <c r="C7"/>
    </row>
    <row r="8" spans="1:8" x14ac:dyDescent="0.3">
      <c r="A8"/>
      <c r="B8"/>
      <c r="C8"/>
    </row>
    <row r="9" spans="1:8" x14ac:dyDescent="0.3">
      <c r="A9"/>
      <c r="B9"/>
      <c r="C9"/>
    </row>
    <row r="10" spans="1:8" x14ac:dyDescent="0.3">
      <c r="A10"/>
      <c r="B10"/>
      <c r="C10"/>
    </row>
    <row r="11" spans="1:8" x14ac:dyDescent="0.3">
      <c r="A11"/>
      <c r="B11"/>
      <c r="C11"/>
    </row>
    <row r="12" spans="1:8" x14ac:dyDescent="0.3">
      <c r="A12"/>
      <c r="B12"/>
      <c r="C12"/>
    </row>
    <row r="13" spans="1:8" x14ac:dyDescent="0.3">
      <c r="A13"/>
      <c r="B13"/>
      <c r="C13"/>
    </row>
    <row r="14" spans="1:8" x14ac:dyDescent="0.3">
      <c r="A14"/>
      <c r="B14"/>
      <c r="C14"/>
    </row>
    <row r="15" spans="1:8" x14ac:dyDescent="0.3">
      <c r="A15"/>
      <c r="B15"/>
      <c r="C15"/>
    </row>
    <row r="16" spans="1:8" x14ac:dyDescent="0.3">
      <c r="A16"/>
      <c r="B16"/>
      <c r="C16"/>
    </row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85CE5F1-FB92-4980-BD92-F0EB5DFC60AA}">
  <ds:schemaRefs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microsoft.com/sharepoint/v3"/>
    <ds:schemaRef ds:uri="081bcfd3-8243-49d0-a795-91f3d32c97ca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ModuleENT</vt:lpstr>
      <vt:lpstr>ModuleCMD</vt:lpstr>
      <vt:lpstr>ModuleVERIF_ENTIER</vt:lpstr>
      <vt:lpstr>ModuleVERIF_CHAINE</vt:lpstr>
      <vt:lpstr>ListeVERIF</vt:lpstr>
    </vt:vector>
  </TitlesOfParts>
  <Company>SFR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samba</cp:lastModifiedBy>
  <dcterms:created xsi:type="dcterms:W3CDTF">2020-02-03T09:56:53Z</dcterms:created>
  <dcterms:modified xsi:type="dcterms:W3CDTF">2021-06-20T13:46:47Z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